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ar user\Desktop\them_CTI\"/>
    </mc:Choice>
  </mc:AlternateContent>
  <xr:revisionPtr revIDLastSave="0" documentId="8_{C0802156-523D-4B02-8856-12BCCD74A14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امتیاز دهی خبرگان" sheetId="2" r:id="rId1"/>
    <sheet name="عملیات فازی" sheetId="3" r:id="rId2"/>
    <sheet name="طیف فازی" sheetId="4" r:id="rId3"/>
  </sheets>
  <definedNames>
    <definedName name="_xlnm._FilterDatabase" localSheetId="1" hidden="1">'عملیات فازی'!$C$1:$AF$75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C6" i="3"/>
  <c r="D6" i="3"/>
  <c r="E6" i="3"/>
  <c r="F6" i="3"/>
  <c r="G6" i="3"/>
  <c r="H6" i="3"/>
  <c r="I6" i="3"/>
  <c r="J6" i="3"/>
  <c r="K6" i="3"/>
  <c r="AO6" i="3" s="1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C14" i="3"/>
  <c r="D14" i="3"/>
  <c r="E14" i="3"/>
  <c r="AO14" i="3" s="1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C22" i="3"/>
  <c r="D22" i="3"/>
  <c r="E22" i="3"/>
  <c r="F22" i="3"/>
  <c r="G22" i="3"/>
  <c r="H22" i="3"/>
  <c r="AO22" i="3" s="1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C30" i="3"/>
  <c r="D30" i="3"/>
  <c r="E30" i="3"/>
  <c r="F30" i="3"/>
  <c r="G30" i="3"/>
  <c r="H30" i="3"/>
  <c r="I30" i="3"/>
  <c r="J30" i="3"/>
  <c r="K30" i="3"/>
  <c r="AO30" i="3" s="1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AM39" i="3" s="1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C40" i="3"/>
  <c r="D40" i="3"/>
  <c r="E40" i="3"/>
  <c r="F40" i="3"/>
  <c r="G40" i="3"/>
  <c r="H40" i="3"/>
  <c r="I40" i="3"/>
  <c r="J40" i="3"/>
  <c r="K40" i="3"/>
  <c r="AO40" i="3" s="1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C42" i="3"/>
  <c r="D42" i="3"/>
  <c r="E42" i="3"/>
  <c r="AO42" i="3" s="1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AM47" i="3" s="1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C48" i="3"/>
  <c r="D48" i="3"/>
  <c r="E48" i="3"/>
  <c r="F48" i="3"/>
  <c r="G48" i="3"/>
  <c r="H48" i="3"/>
  <c r="I48" i="3"/>
  <c r="J48" i="3"/>
  <c r="AN48" i="3" s="1"/>
  <c r="K48" i="3"/>
  <c r="AO48" i="3" s="1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C50" i="3"/>
  <c r="D50" i="3"/>
  <c r="AN50" i="3" s="1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C54" i="3"/>
  <c r="D54" i="3"/>
  <c r="E54" i="3"/>
  <c r="F54" i="3"/>
  <c r="G54" i="3"/>
  <c r="H54" i="3"/>
  <c r="AO54" i="3" s="1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C55" i="3"/>
  <c r="D55" i="3"/>
  <c r="E55" i="3"/>
  <c r="F55" i="3"/>
  <c r="G55" i="3"/>
  <c r="H55" i="3"/>
  <c r="I55" i="3"/>
  <c r="J55" i="3"/>
  <c r="K55" i="3"/>
  <c r="L55" i="3"/>
  <c r="M55" i="3"/>
  <c r="N55" i="3"/>
  <c r="AO55" i="3" s="1"/>
  <c r="O55" i="3"/>
  <c r="AM55" i="3" s="1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C56" i="3"/>
  <c r="D56" i="3"/>
  <c r="E56" i="3"/>
  <c r="F56" i="3"/>
  <c r="G56" i="3"/>
  <c r="H56" i="3"/>
  <c r="I56" i="3"/>
  <c r="AM56" i="3" s="1"/>
  <c r="J56" i="3"/>
  <c r="AN56" i="3" s="1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C58" i="3"/>
  <c r="AM58" i="3" s="1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C62" i="3"/>
  <c r="D62" i="3"/>
  <c r="E62" i="3"/>
  <c r="F62" i="3"/>
  <c r="G62" i="3"/>
  <c r="H62" i="3"/>
  <c r="AO62" i="3" s="1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C63" i="3"/>
  <c r="D63" i="3"/>
  <c r="E63" i="3"/>
  <c r="F63" i="3"/>
  <c r="G63" i="3"/>
  <c r="H63" i="3"/>
  <c r="I63" i="3"/>
  <c r="J63" i="3"/>
  <c r="K63" i="3"/>
  <c r="L63" i="3"/>
  <c r="M63" i="3"/>
  <c r="N63" i="3"/>
  <c r="AO63" i="3" s="1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C70" i="3"/>
  <c r="D70" i="3"/>
  <c r="E70" i="3"/>
  <c r="F70" i="3"/>
  <c r="G70" i="3"/>
  <c r="H70" i="3"/>
  <c r="AO70" i="3" s="1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C72" i="3"/>
  <c r="D72" i="3"/>
  <c r="E72" i="3"/>
  <c r="F72" i="3"/>
  <c r="G72" i="3"/>
  <c r="H72" i="3"/>
  <c r="I72" i="3"/>
  <c r="AM72" i="3" s="1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C81" i="3"/>
  <c r="D81" i="3"/>
  <c r="AN81" i="3" s="1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C86" i="3"/>
  <c r="D86" i="3"/>
  <c r="E86" i="3"/>
  <c r="F86" i="3"/>
  <c r="G86" i="3"/>
  <c r="H86" i="3"/>
  <c r="AO86" i="3" s="1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C89" i="3"/>
  <c r="AM89" i="3" s="1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C94" i="3"/>
  <c r="D94" i="3"/>
  <c r="E94" i="3"/>
  <c r="F94" i="3"/>
  <c r="G94" i="3"/>
  <c r="H94" i="3"/>
  <c r="AO94" i="3" s="1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C102" i="3"/>
  <c r="D102" i="3"/>
  <c r="E102" i="3"/>
  <c r="F102" i="3"/>
  <c r="G102" i="3"/>
  <c r="H102" i="3"/>
  <c r="AO102" i="3" s="1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C103" i="3"/>
  <c r="D103" i="3"/>
  <c r="E103" i="3"/>
  <c r="F103" i="3"/>
  <c r="G103" i="3"/>
  <c r="AN103" i="3" s="1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C110" i="3"/>
  <c r="D110" i="3"/>
  <c r="E110" i="3"/>
  <c r="F110" i="3"/>
  <c r="G110" i="3"/>
  <c r="H110" i="3"/>
  <c r="AO110" i="3" s="1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C118" i="3"/>
  <c r="D118" i="3"/>
  <c r="E118" i="3"/>
  <c r="F118" i="3"/>
  <c r="G118" i="3"/>
  <c r="H118" i="3"/>
  <c r="AO118" i="3" s="1"/>
  <c r="I118" i="3"/>
  <c r="J118" i="3"/>
  <c r="AN118" i="3" s="1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O3" i="2"/>
  <c r="AN64" i="3" l="1"/>
  <c r="AM64" i="3"/>
  <c r="AO73" i="3"/>
  <c r="AO47" i="3"/>
  <c r="AM103" i="3"/>
  <c r="AO78" i="3"/>
  <c r="AO46" i="3"/>
  <c r="AO38" i="3"/>
  <c r="AN53" i="3"/>
  <c r="AO45" i="3"/>
  <c r="AM30" i="3"/>
  <c r="AN22" i="3"/>
  <c r="AM20" i="3"/>
  <c r="AN7" i="3"/>
  <c r="AM115" i="3"/>
  <c r="AN107" i="3"/>
  <c r="AO99" i="3"/>
  <c r="AO68" i="3"/>
  <c r="AM53" i="3"/>
  <c r="AN45" i="3"/>
  <c r="AO37" i="3"/>
  <c r="AM22" i="3"/>
  <c r="AN14" i="3"/>
  <c r="AM12" i="3"/>
  <c r="AM73" i="3"/>
  <c r="AO49" i="3"/>
  <c r="AN16" i="3"/>
  <c r="AN95" i="3"/>
  <c r="AO117" i="3"/>
  <c r="AN41" i="3"/>
  <c r="AM18" i="3"/>
  <c r="AN33" i="3"/>
  <c r="AM117" i="3"/>
  <c r="AN39" i="3"/>
  <c r="AM54" i="3"/>
  <c r="AO92" i="3"/>
  <c r="AN123" i="3"/>
  <c r="AN115" i="3"/>
  <c r="AN6" i="3"/>
  <c r="AN108" i="3"/>
  <c r="AM99" i="3"/>
  <c r="AM68" i="3"/>
  <c r="AO52" i="3"/>
  <c r="AM37" i="3"/>
  <c r="AN29" i="3"/>
  <c r="AO21" i="3"/>
  <c r="AM6" i="3"/>
  <c r="AM57" i="3"/>
  <c r="AN24" i="3"/>
  <c r="AM15" i="3"/>
  <c r="AN109" i="3"/>
  <c r="AM52" i="3"/>
  <c r="AM28" i="3"/>
  <c r="AO83" i="3"/>
  <c r="AN100" i="3"/>
  <c r="AM91" i="3"/>
  <c r="AN83" i="3"/>
  <c r="AO75" i="3"/>
  <c r="AM60" i="3"/>
  <c r="AO44" i="3"/>
  <c r="AM29" i="3"/>
  <c r="AN21" i="3"/>
  <c r="AO13" i="3"/>
  <c r="AN73" i="3"/>
  <c r="AN42" i="3"/>
  <c r="AN40" i="3"/>
  <c r="AN26" i="3"/>
  <c r="AN87" i="3"/>
  <c r="AO41" i="3"/>
  <c r="AO10" i="3"/>
  <c r="AO16" i="3"/>
  <c r="AO17" i="3"/>
  <c r="AO93" i="3"/>
  <c r="AM78" i="3"/>
  <c r="AN93" i="3"/>
  <c r="AM46" i="3"/>
  <c r="AN30" i="3"/>
  <c r="AN91" i="3"/>
  <c r="AN92" i="3"/>
  <c r="AM83" i="3"/>
  <c r="AN75" i="3"/>
  <c r="AO67" i="3"/>
  <c r="AO36" i="3"/>
  <c r="AM21" i="3"/>
  <c r="AN13" i="3"/>
  <c r="AO5" i="3"/>
  <c r="AO39" i="3"/>
  <c r="AN79" i="3"/>
  <c r="AM84" i="3"/>
  <c r="AN55" i="3"/>
  <c r="AN17" i="3"/>
  <c r="AM108" i="3"/>
  <c r="AM17" i="3"/>
  <c r="AM93" i="3"/>
  <c r="AO77" i="3"/>
  <c r="AM62" i="3"/>
  <c r="AM107" i="3"/>
  <c r="AM75" i="3"/>
  <c r="AN67" i="3"/>
  <c r="AO28" i="3"/>
  <c r="AM13" i="3"/>
  <c r="AN5" i="3"/>
  <c r="AM65" i="3"/>
  <c r="AM48" i="3"/>
  <c r="AO31" i="3"/>
  <c r="AO23" i="3"/>
  <c r="AN25" i="3"/>
  <c r="AM109" i="3"/>
  <c r="AO116" i="3"/>
  <c r="AO100" i="3"/>
  <c r="AO69" i="3"/>
  <c r="AO107" i="3"/>
  <c r="AO76" i="3"/>
  <c r="AO91" i="3"/>
  <c r="AN84" i="3"/>
  <c r="AO59" i="3"/>
  <c r="AN76" i="3"/>
  <c r="AM67" i="3"/>
  <c r="AN59" i="3"/>
  <c r="AO51" i="3"/>
  <c r="AO20" i="3"/>
  <c r="AN102" i="3"/>
  <c r="AN32" i="3"/>
  <c r="AN62" i="3"/>
  <c r="AO108" i="3"/>
  <c r="AO123" i="3"/>
  <c r="AO84" i="3"/>
  <c r="AM123" i="3"/>
  <c r="AM59" i="3"/>
  <c r="AO43" i="3"/>
  <c r="AO12" i="3"/>
  <c r="AO34" i="3"/>
  <c r="AN65" i="3"/>
  <c r="AM118" i="3"/>
  <c r="AM31" i="3"/>
  <c r="AM40" i="3"/>
  <c r="AM16" i="3"/>
  <c r="AM92" i="3"/>
  <c r="AN31" i="3"/>
  <c r="AN69" i="3"/>
  <c r="AM45" i="3"/>
  <c r="AN37" i="3"/>
  <c r="AO114" i="3"/>
  <c r="AN60" i="3"/>
  <c r="AM51" i="3"/>
  <c r="AN43" i="3"/>
  <c r="AO35" i="3"/>
  <c r="AO4" i="3"/>
  <c r="AM42" i="3"/>
  <c r="AM10" i="3"/>
  <c r="AM116" i="3"/>
  <c r="AN85" i="3"/>
  <c r="AM14" i="3"/>
  <c r="AN51" i="3"/>
  <c r="AN122" i="3"/>
  <c r="AM122" i="3"/>
  <c r="AO120" i="3"/>
  <c r="AN114" i="3"/>
  <c r="AN111" i="3"/>
  <c r="AO106" i="3"/>
  <c r="AN52" i="3"/>
  <c r="AM43" i="3"/>
  <c r="AN35" i="3"/>
  <c r="AO27" i="3"/>
  <c r="AM5" i="3"/>
  <c r="AM50" i="3"/>
  <c r="AM34" i="3"/>
  <c r="AM26" i="3"/>
  <c r="AO101" i="3"/>
  <c r="AM33" i="3"/>
  <c r="AM8" i="3"/>
  <c r="AM70" i="3"/>
  <c r="AN54" i="3"/>
  <c r="AM44" i="3"/>
  <c r="AN61" i="3"/>
  <c r="AM61" i="3"/>
  <c r="AM4" i="3"/>
  <c r="AO122" i="3"/>
  <c r="AN68" i="3"/>
  <c r="AN120" i="3"/>
  <c r="AO119" i="3"/>
  <c r="AM114" i="3"/>
  <c r="AO112" i="3"/>
  <c r="AN106" i="3"/>
  <c r="AO98" i="3"/>
  <c r="AN44" i="3"/>
  <c r="AM35" i="3"/>
  <c r="AN27" i="3"/>
  <c r="AO19" i="3"/>
  <c r="AM81" i="3"/>
  <c r="AM102" i="3"/>
  <c r="AN78" i="3"/>
  <c r="AN77" i="3"/>
  <c r="AN38" i="3"/>
  <c r="AN23" i="3"/>
  <c r="AN116" i="3"/>
  <c r="AO60" i="3"/>
  <c r="AN119" i="3"/>
  <c r="AO121" i="3"/>
  <c r="AM120" i="3"/>
  <c r="AN112" i="3"/>
  <c r="AO111" i="3"/>
  <c r="AM106" i="3"/>
  <c r="AO104" i="3"/>
  <c r="AN98" i="3"/>
  <c r="AO90" i="3"/>
  <c r="AN36" i="3"/>
  <c r="AM27" i="3"/>
  <c r="AN19" i="3"/>
  <c r="AO11" i="3"/>
  <c r="AN34" i="3"/>
  <c r="AM49" i="3"/>
  <c r="AO15" i="3"/>
  <c r="AM86" i="3"/>
  <c r="AN8" i="3"/>
  <c r="AM25" i="3"/>
  <c r="AM101" i="3"/>
  <c r="AM9" i="3"/>
  <c r="AN46" i="3"/>
  <c r="AO61" i="3"/>
  <c r="AM69" i="3"/>
  <c r="AO53" i="3"/>
  <c r="AM38" i="3"/>
  <c r="AN15" i="3"/>
  <c r="AO103" i="3"/>
  <c r="AM98" i="3"/>
  <c r="AN90" i="3"/>
  <c r="AO82" i="3"/>
  <c r="AN28" i="3"/>
  <c r="AM19" i="3"/>
  <c r="AN11" i="3"/>
  <c r="AO32" i="3"/>
  <c r="AO18" i="3"/>
  <c r="AO24" i="3"/>
  <c r="AN117" i="3"/>
  <c r="AN86" i="3"/>
  <c r="AO8" i="3"/>
  <c r="AO7" i="3"/>
  <c r="AO85" i="3"/>
  <c r="AN47" i="3"/>
  <c r="AM85" i="3"/>
  <c r="AM77" i="3"/>
  <c r="AO115" i="3"/>
  <c r="AN99" i="3"/>
  <c r="AO29" i="3"/>
  <c r="AM112" i="3"/>
  <c r="AO96" i="3"/>
  <c r="AM121" i="3"/>
  <c r="AO105" i="3"/>
  <c r="AN96" i="3"/>
  <c r="AM87" i="3"/>
  <c r="AO74" i="3"/>
  <c r="AN20" i="3"/>
  <c r="AM11" i="3"/>
  <c r="AO56" i="3"/>
  <c r="AO65" i="3"/>
  <c r="AO26" i="3"/>
  <c r="AM7" i="3"/>
  <c r="AM110" i="3"/>
  <c r="AN94" i="3"/>
  <c r="AM32" i="3"/>
  <c r="AN10" i="3"/>
  <c r="AO109" i="3"/>
  <c r="AM94" i="3"/>
  <c r="AM76" i="3"/>
  <c r="AN63" i="3"/>
  <c r="AM100" i="3"/>
  <c r="AN121" i="3"/>
  <c r="AO113" i="3"/>
  <c r="AN104" i="3"/>
  <c r="AM95" i="3"/>
  <c r="AN113" i="3"/>
  <c r="AM104" i="3"/>
  <c r="AO95" i="3"/>
  <c r="AM90" i="3"/>
  <c r="AO88" i="3"/>
  <c r="AN82" i="3"/>
  <c r="AM113" i="3"/>
  <c r="AN105" i="3"/>
  <c r="AO97" i="3"/>
  <c r="AM96" i="3"/>
  <c r="AN88" i="3"/>
  <c r="AO87" i="3"/>
  <c r="AM82" i="3"/>
  <c r="AO80" i="3"/>
  <c r="AM79" i="3"/>
  <c r="AN74" i="3"/>
  <c r="AO66" i="3"/>
  <c r="AN12" i="3"/>
  <c r="AN57" i="3"/>
  <c r="AN49" i="3"/>
  <c r="AM23" i="3"/>
  <c r="AN18" i="3"/>
  <c r="AN71" i="3"/>
  <c r="AM24" i="3"/>
  <c r="AN101" i="3"/>
  <c r="AN70" i="3"/>
  <c r="AO9" i="3"/>
  <c r="AN9" i="3"/>
  <c r="AM119" i="3"/>
  <c r="AM105" i="3"/>
  <c r="AN97" i="3"/>
  <c r="AO89" i="3"/>
  <c r="AM88" i="3"/>
  <c r="AN80" i="3"/>
  <c r="AO79" i="3"/>
  <c r="AM74" i="3"/>
  <c r="AO72" i="3"/>
  <c r="AM71" i="3"/>
  <c r="AN66" i="3"/>
  <c r="AO58" i="3"/>
  <c r="AN4" i="3"/>
  <c r="AO57" i="3"/>
  <c r="AN110" i="3"/>
  <c r="AO33" i="3"/>
  <c r="AM41" i="3"/>
  <c r="AO25" i="3"/>
  <c r="AM36" i="3"/>
  <c r="AM111" i="3"/>
  <c r="AM97" i="3"/>
  <c r="AN89" i="3"/>
  <c r="AO81" i="3"/>
  <c r="AM80" i="3"/>
  <c r="AN72" i="3"/>
  <c r="AO71" i="3"/>
  <c r="AM66" i="3"/>
  <c r="AO64" i="3"/>
  <c r="AM63" i="3"/>
  <c r="AN58" i="3"/>
  <c r="AO50" i="3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P3" i="2"/>
  <c r="AU4" i="3" l="1"/>
  <c r="AR99" i="3" s="1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Q105" i="3" l="1"/>
  <c r="AP95" i="3"/>
  <c r="AR15" i="3"/>
  <c r="AR111" i="3"/>
  <c r="AQ24" i="3"/>
  <c r="AQ72" i="3"/>
  <c r="AQ67" i="3"/>
  <c r="AQ49" i="3"/>
  <c r="AR12" i="3"/>
  <c r="AP28" i="3"/>
  <c r="AQ75" i="3"/>
  <c r="AR72" i="3"/>
  <c r="AQ26" i="3"/>
  <c r="AR30" i="3"/>
  <c r="AR55" i="3"/>
  <c r="AR110" i="3"/>
  <c r="AR102" i="3"/>
  <c r="AR63" i="3"/>
  <c r="AR14" i="3"/>
  <c r="AP72" i="3"/>
  <c r="AS72" i="3" s="1"/>
  <c r="AT72" i="3" s="1"/>
  <c r="AR6" i="3"/>
  <c r="AR94" i="3"/>
  <c r="AR73" i="3"/>
  <c r="AR86" i="3"/>
  <c r="AP58" i="3"/>
  <c r="AP64" i="3"/>
  <c r="AS64" i="3" s="1"/>
  <c r="AT64" i="3" s="1"/>
  <c r="AQ50" i="3"/>
  <c r="AQ103" i="3"/>
  <c r="AR78" i="3"/>
  <c r="AR48" i="3"/>
  <c r="AR70" i="3"/>
  <c r="AR47" i="3"/>
  <c r="AR54" i="3"/>
  <c r="AP89" i="3"/>
  <c r="AR42" i="3"/>
  <c r="AR62" i="3"/>
  <c r="AQ64" i="3"/>
  <c r="AR22" i="3"/>
  <c r="AR38" i="3"/>
  <c r="AR118" i="3"/>
  <c r="AQ118" i="3"/>
  <c r="AQ56" i="3"/>
  <c r="AP56" i="3"/>
  <c r="AR40" i="3"/>
  <c r="AQ81" i="3"/>
  <c r="AR46" i="3"/>
  <c r="AP55" i="3"/>
  <c r="AQ48" i="3"/>
  <c r="AP39" i="3"/>
  <c r="AP103" i="3"/>
  <c r="AP47" i="3"/>
  <c r="AQ41" i="3"/>
  <c r="AP22" i="3"/>
  <c r="AP30" i="3"/>
  <c r="AQ54" i="3"/>
  <c r="AP43" i="3"/>
  <c r="AQ119" i="3"/>
  <c r="AR93" i="3"/>
  <c r="AR27" i="3"/>
  <c r="AP87" i="3"/>
  <c r="AS87" i="3" s="1"/>
  <c r="AT87" i="3" s="1"/>
  <c r="AQ16" i="3"/>
  <c r="AR88" i="3"/>
  <c r="AQ13" i="3"/>
  <c r="AR107" i="3"/>
  <c r="AR8" i="3"/>
  <c r="AP91" i="3"/>
  <c r="AP77" i="3"/>
  <c r="AP120" i="3"/>
  <c r="AQ98" i="3"/>
  <c r="AQ117" i="3"/>
  <c r="AR53" i="3"/>
  <c r="AQ18" i="3"/>
  <c r="AR56" i="3"/>
  <c r="AR76" i="3"/>
  <c r="AQ45" i="3"/>
  <c r="AQ88" i="3"/>
  <c r="AQ101" i="3"/>
  <c r="AR39" i="3"/>
  <c r="AP10" i="3"/>
  <c r="AQ7" i="3"/>
  <c r="AR31" i="3"/>
  <c r="AQ113" i="3"/>
  <c r="AP50" i="3"/>
  <c r="AQ114" i="3"/>
  <c r="AP123" i="3"/>
  <c r="AQ97" i="3"/>
  <c r="AR10" i="3"/>
  <c r="AP69" i="3"/>
  <c r="AQ68" i="3"/>
  <c r="AP71" i="3"/>
  <c r="AQ38" i="3"/>
  <c r="AQ66" i="3"/>
  <c r="AP109" i="3"/>
  <c r="AS109" i="3" s="1"/>
  <c r="AT109" i="3" s="1"/>
  <c r="AP80" i="3"/>
  <c r="AP65" i="3"/>
  <c r="AS65" i="3" s="1"/>
  <c r="AT65" i="3" s="1"/>
  <c r="AP66" i="3"/>
  <c r="AS66" i="3" s="1"/>
  <c r="AT66" i="3" s="1"/>
  <c r="AP113" i="3"/>
  <c r="AQ33" i="3"/>
  <c r="AQ84" i="3"/>
  <c r="AR16" i="3"/>
  <c r="AQ35" i="3"/>
  <c r="AR19" i="3"/>
  <c r="AP5" i="3"/>
  <c r="AP45" i="3"/>
  <c r="AP79" i="3"/>
  <c r="AR52" i="3"/>
  <c r="AP63" i="3"/>
  <c r="AR35" i="3"/>
  <c r="AQ102" i="3"/>
  <c r="AP68" i="3"/>
  <c r="AR66" i="3"/>
  <c r="AR89" i="3"/>
  <c r="AQ116" i="3"/>
  <c r="AR81" i="3"/>
  <c r="AP33" i="3"/>
  <c r="AR100" i="3"/>
  <c r="AQ52" i="3"/>
  <c r="AR34" i="3"/>
  <c r="AQ74" i="3"/>
  <c r="AQ94" i="3"/>
  <c r="AQ93" i="3"/>
  <c r="AQ12" i="3"/>
  <c r="AR117" i="3"/>
  <c r="AQ112" i="3"/>
  <c r="AR37" i="3"/>
  <c r="AP7" i="3"/>
  <c r="AS7" i="3" s="1"/>
  <c r="AT7" i="3" s="1"/>
  <c r="AP17" i="3"/>
  <c r="AS17" i="3" s="1"/>
  <c r="AT17" i="3" s="1"/>
  <c r="AR13" i="3"/>
  <c r="AR61" i="3"/>
  <c r="AQ63" i="3"/>
  <c r="AP122" i="3"/>
  <c r="AQ51" i="3"/>
  <c r="AR83" i="3"/>
  <c r="AR24" i="3"/>
  <c r="AP85" i="3"/>
  <c r="AP70" i="3"/>
  <c r="AP6" i="3"/>
  <c r="AR33" i="3"/>
  <c r="AQ9" i="3"/>
  <c r="AQ36" i="3"/>
  <c r="AQ80" i="3"/>
  <c r="AR87" i="3"/>
  <c r="AP46" i="3"/>
  <c r="AS46" i="3" s="1"/>
  <c r="AT46" i="3" s="1"/>
  <c r="AP104" i="3"/>
  <c r="AP15" i="3"/>
  <c r="AQ57" i="3"/>
  <c r="AQ31" i="3"/>
  <c r="AP96" i="3"/>
  <c r="AP117" i="3"/>
  <c r="AP98" i="3"/>
  <c r="AS98" i="3" s="1"/>
  <c r="AT98" i="3" s="1"/>
  <c r="AR21" i="3"/>
  <c r="AQ95" i="3"/>
  <c r="AP118" i="3"/>
  <c r="AS118" i="3" s="1"/>
  <c r="AT118" i="3" s="1"/>
  <c r="AP97" i="3"/>
  <c r="AS97" i="3" s="1"/>
  <c r="AT97" i="3" s="1"/>
  <c r="AQ30" i="3"/>
  <c r="AP4" i="3"/>
  <c r="AP88" i="3"/>
  <c r="AQ14" i="3"/>
  <c r="AR41" i="3"/>
  <c r="AQ107" i="3"/>
  <c r="AQ55" i="3"/>
  <c r="AP62" i="3"/>
  <c r="AR119" i="3"/>
  <c r="AQ58" i="3"/>
  <c r="AP38" i="3"/>
  <c r="AR25" i="3"/>
  <c r="AR122" i="3"/>
  <c r="AP116" i="3"/>
  <c r="AQ62" i="3"/>
  <c r="AP11" i="3"/>
  <c r="AP18" i="3"/>
  <c r="AR79" i="3"/>
  <c r="AR116" i="3"/>
  <c r="AR97" i="3"/>
  <c r="AR36" i="3"/>
  <c r="AR106" i="3"/>
  <c r="AR121" i="3"/>
  <c r="AP92" i="3"/>
  <c r="AR4" i="3"/>
  <c r="AP32" i="3"/>
  <c r="AS32" i="3" s="1"/>
  <c r="AT32" i="3" s="1"/>
  <c r="AP27" i="3"/>
  <c r="AP20" i="3"/>
  <c r="AP94" i="3"/>
  <c r="AQ104" i="3"/>
  <c r="AR64" i="3"/>
  <c r="AP54" i="3"/>
  <c r="AR7" i="3"/>
  <c r="AP25" i="3"/>
  <c r="AS25" i="3" s="1"/>
  <c r="AT25" i="3" s="1"/>
  <c r="AQ34" i="3"/>
  <c r="AR105" i="3"/>
  <c r="AP93" i="3"/>
  <c r="AS93" i="3" s="1"/>
  <c r="AT93" i="3" s="1"/>
  <c r="AP81" i="3"/>
  <c r="AS81" i="3" s="1"/>
  <c r="AT81" i="3" s="1"/>
  <c r="AP44" i="3"/>
  <c r="AR123" i="3"/>
  <c r="AP41" i="3"/>
  <c r="AP121" i="3"/>
  <c r="AR44" i="3"/>
  <c r="AQ73" i="3"/>
  <c r="AQ71" i="3"/>
  <c r="AP57" i="3"/>
  <c r="AP78" i="3"/>
  <c r="AP108" i="3"/>
  <c r="AQ32" i="3"/>
  <c r="AR108" i="3"/>
  <c r="AP48" i="3"/>
  <c r="AQ21" i="3"/>
  <c r="AQ42" i="3"/>
  <c r="AP16" i="3"/>
  <c r="AQ99" i="3"/>
  <c r="AR69" i="3"/>
  <c r="AQ109" i="3"/>
  <c r="AR74" i="3"/>
  <c r="AQ92" i="3"/>
  <c r="AR57" i="3"/>
  <c r="AQ15" i="3"/>
  <c r="AQ5" i="3"/>
  <c r="AR80" i="3"/>
  <c r="AR120" i="3"/>
  <c r="AP24" i="3"/>
  <c r="AS24" i="3" s="1"/>
  <c r="AT24" i="3" s="1"/>
  <c r="AP67" i="3"/>
  <c r="AS67" i="3" s="1"/>
  <c r="AT67" i="3" s="1"/>
  <c r="AQ43" i="3"/>
  <c r="AQ83" i="3"/>
  <c r="AQ96" i="3"/>
  <c r="AR5" i="3"/>
  <c r="AQ39" i="3"/>
  <c r="AQ69" i="3"/>
  <c r="AQ59" i="3"/>
  <c r="AQ61" i="3"/>
  <c r="AP59" i="3"/>
  <c r="AR114" i="3"/>
  <c r="AR68" i="3"/>
  <c r="AP13" i="3"/>
  <c r="AP106" i="3"/>
  <c r="AR11" i="3"/>
  <c r="AP53" i="3"/>
  <c r="AQ106" i="3"/>
  <c r="AP34" i="3"/>
  <c r="AR113" i="3"/>
  <c r="AR103" i="3"/>
  <c r="AP90" i="3"/>
  <c r="AS90" i="3" s="1"/>
  <c r="AT90" i="3" s="1"/>
  <c r="AP14" i="3"/>
  <c r="AQ122" i="3"/>
  <c r="AQ65" i="3"/>
  <c r="AP84" i="3"/>
  <c r="AQ44" i="3"/>
  <c r="AP26" i="3"/>
  <c r="AQ47" i="3"/>
  <c r="AP99" i="3"/>
  <c r="AS99" i="3" s="1"/>
  <c r="AT99" i="3" s="1"/>
  <c r="AQ79" i="3"/>
  <c r="AQ37" i="3"/>
  <c r="AP112" i="3"/>
  <c r="AR23" i="3"/>
  <c r="AQ22" i="3"/>
  <c r="AP107" i="3"/>
  <c r="AQ28" i="3"/>
  <c r="AP60" i="3"/>
  <c r="AS60" i="3" s="1"/>
  <c r="AT60" i="3" s="1"/>
  <c r="AR71" i="3"/>
  <c r="AQ85" i="3"/>
  <c r="AP115" i="3"/>
  <c r="AQ123" i="3"/>
  <c r="AQ17" i="3"/>
  <c r="AQ6" i="3"/>
  <c r="AP8" i="3"/>
  <c r="AR115" i="3"/>
  <c r="AQ86" i="3"/>
  <c r="AP100" i="3"/>
  <c r="AQ20" i="3"/>
  <c r="AR9" i="3"/>
  <c r="AR50" i="3"/>
  <c r="AQ87" i="3"/>
  <c r="AP119" i="3"/>
  <c r="AR32" i="3"/>
  <c r="AP37" i="3"/>
  <c r="AR92" i="3"/>
  <c r="AR77" i="3"/>
  <c r="AQ27" i="3"/>
  <c r="AP111" i="3"/>
  <c r="AR20" i="3"/>
  <c r="AP35" i="3"/>
  <c r="AS35" i="3" s="1"/>
  <c r="AT35" i="3" s="1"/>
  <c r="AR60" i="3"/>
  <c r="AR28" i="3"/>
  <c r="AR45" i="3"/>
  <c r="AP29" i="3"/>
  <c r="AS29" i="3" s="1"/>
  <c r="AT29" i="3" s="1"/>
  <c r="AQ78" i="3"/>
  <c r="AR43" i="3"/>
  <c r="AP102" i="3"/>
  <c r="AS102" i="3" s="1"/>
  <c r="AT102" i="3" s="1"/>
  <c r="AR101" i="3"/>
  <c r="AP23" i="3"/>
  <c r="AQ77" i="3"/>
  <c r="AQ23" i="3"/>
  <c r="AP12" i="3"/>
  <c r="AR75" i="3"/>
  <c r="AR90" i="3"/>
  <c r="AQ4" i="3"/>
  <c r="AR59" i="3"/>
  <c r="AQ60" i="3"/>
  <c r="AQ46" i="3"/>
  <c r="AP61" i="3"/>
  <c r="AR104" i="3"/>
  <c r="AQ11" i="3"/>
  <c r="AP49" i="3"/>
  <c r="AR98" i="3"/>
  <c r="AP82" i="3"/>
  <c r="AQ29" i="3"/>
  <c r="AQ121" i="3"/>
  <c r="AP114" i="3"/>
  <c r="AO3" i="3"/>
  <c r="AR96" i="3"/>
  <c r="AP75" i="3"/>
  <c r="AQ25" i="3"/>
  <c r="AQ120" i="3"/>
  <c r="AR84" i="3"/>
  <c r="AR82" i="3"/>
  <c r="AQ100" i="3"/>
  <c r="AQ111" i="3"/>
  <c r="AP74" i="3"/>
  <c r="AS74" i="3" s="1"/>
  <c r="AT74" i="3" s="1"/>
  <c r="AR91" i="3"/>
  <c r="AR51" i="3"/>
  <c r="AP19" i="3"/>
  <c r="AS19" i="3" s="1"/>
  <c r="AT19" i="3" s="1"/>
  <c r="AQ8" i="3"/>
  <c r="AR18" i="3"/>
  <c r="AR85" i="3"/>
  <c r="AR49" i="3"/>
  <c r="AQ108" i="3"/>
  <c r="AP105" i="3"/>
  <c r="AR58" i="3"/>
  <c r="AR29" i="3"/>
  <c r="AQ76" i="3"/>
  <c r="AP51" i="3"/>
  <c r="AP21" i="3"/>
  <c r="AQ110" i="3"/>
  <c r="AP86" i="3"/>
  <c r="AQ10" i="3"/>
  <c r="AP42" i="3"/>
  <c r="AQ70" i="3"/>
  <c r="AR17" i="3"/>
  <c r="AR67" i="3"/>
  <c r="AP76" i="3"/>
  <c r="AS76" i="3" s="1"/>
  <c r="AT76" i="3" s="1"/>
  <c r="AP36" i="3"/>
  <c r="AS36" i="3" s="1"/>
  <c r="AT36" i="3" s="1"/>
  <c r="AQ91" i="3"/>
  <c r="AR109" i="3"/>
  <c r="AR65" i="3"/>
  <c r="AM3" i="3"/>
  <c r="AP3" i="3" s="1"/>
  <c r="AR26" i="3"/>
  <c r="AN3" i="3"/>
  <c r="AR112" i="3"/>
  <c r="AP73" i="3"/>
  <c r="AS73" i="3" s="1"/>
  <c r="AT73" i="3" s="1"/>
  <c r="AP31" i="3"/>
  <c r="AS31" i="3" s="1"/>
  <c r="AT31" i="3" s="1"/>
  <c r="AR95" i="3"/>
  <c r="AP52" i="3"/>
  <c r="AS52" i="3" s="1"/>
  <c r="AT52" i="3" s="1"/>
  <c r="AP40" i="3"/>
  <c r="AS40" i="3" s="1"/>
  <c r="AT40" i="3" s="1"/>
  <c r="AQ82" i="3"/>
  <c r="AQ53" i="3"/>
  <c r="AP83" i="3"/>
  <c r="AQ89" i="3"/>
  <c r="AQ115" i="3"/>
  <c r="AQ40" i="3"/>
  <c r="AP9" i="3"/>
  <c r="AQ90" i="3"/>
  <c r="AQ19" i="3"/>
  <c r="AP101" i="3"/>
  <c r="AP110" i="3"/>
  <c r="AS121" i="3" l="1"/>
  <c r="AT121" i="3" s="1"/>
  <c r="AS120" i="3"/>
  <c r="AT120" i="3" s="1"/>
  <c r="AS41" i="3"/>
  <c r="AT41" i="3" s="1"/>
  <c r="AS122" i="3"/>
  <c r="AT122" i="3" s="1"/>
  <c r="AS83" i="3"/>
  <c r="AT83" i="3" s="1"/>
  <c r="AS95" i="3"/>
  <c r="AT95" i="3" s="1"/>
  <c r="AS113" i="3"/>
  <c r="AT113" i="3" s="1"/>
  <c r="AS91" i="3"/>
  <c r="AT91" i="3" s="1"/>
  <c r="AS80" i="3"/>
  <c r="AT80" i="3" s="1"/>
  <c r="AS77" i="3"/>
  <c r="AT77" i="3" s="1"/>
  <c r="AS44" i="3"/>
  <c r="AT44" i="3" s="1"/>
  <c r="AS12" i="3"/>
  <c r="AT12" i="3" s="1"/>
  <c r="AS4" i="3"/>
  <c r="AT4" i="3" s="1"/>
  <c r="AS23" i="3"/>
  <c r="AT23" i="3" s="1"/>
  <c r="AS111" i="3"/>
  <c r="AT111" i="3" s="1"/>
  <c r="AS117" i="3"/>
  <c r="AT117" i="3" s="1"/>
  <c r="AS50" i="3"/>
  <c r="AT50" i="3" s="1"/>
  <c r="AS114" i="3"/>
  <c r="AT114" i="3" s="1"/>
  <c r="AS10" i="3"/>
  <c r="AT10" i="3" s="1"/>
  <c r="AS55" i="3"/>
  <c r="AT55" i="3" s="1"/>
  <c r="AS107" i="3"/>
  <c r="AT107" i="3" s="1"/>
  <c r="AS26" i="3"/>
  <c r="AT26" i="3" s="1"/>
  <c r="AS123" i="3"/>
  <c r="AT123" i="3" s="1"/>
  <c r="AS42" i="3"/>
  <c r="AT42" i="3" s="1"/>
  <c r="AS68" i="3"/>
  <c r="AT68" i="3" s="1"/>
  <c r="AS20" i="3"/>
  <c r="AT20" i="3" s="1"/>
  <c r="AS49" i="3"/>
  <c r="AT49" i="3" s="1"/>
  <c r="AS34" i="3"/>
  <c r="AT34" i="3" s="1"/>
  <c r="AS48" i="3"/>
  <c r="AT48" i="3" s="1"/>
  <c r="AS88" i="3"/>
  <c r="AT88" i="3" s="1"/>
  <c r="AS43" i="3"/>
  <c r="AT43" i="3" s="1"/>
  <c r="AS103" i="3"/>
  <c r="AT103" i="3" s="1"/>
  <c r="AS104" i="3"/>
  <c r="AT104" i="3" s="1"/>
  <c r="AS82" i="3"/>
  <c r="AT82" i="3" s="1"/>
  <c r="AS86" i="3"/>
  <c r="AT86" i="3" s="1"/>
  <c r="AS115" i="3"/>
  <c r="AT115" i="3" s="1"/>
  <c r="AS94" i="3"/>
  <c r="AT94" i="3" s="1"/>
  <c r="AS75" i="3"/>
  <c r="AT75" i="3" s="1"/>
  <c r="AS53" i="3"/>
  <c r="AT53" i="3" s="1"/>
  <c r="AS18" i="3"/>
  <c r="AT18" i="3" s="1"/>
  <c r="AS63" i="3"/>
  <c r="AT63" i="3" s="1"/>
  <c r="AS56" i="3"/>
  <c r="AT56" i="3" s="1"/>
  <c r="AS62" i="3"/>
  <c r="AT62" i="3" s="1"/>
  <c r="AS22" i="3"/>
  <c r="AT22" i="3" s="1"/>
  <c r="AS47" i="3"/>
  <c r="AT47" i="3" s="1"/>
  <c r="AS16" i="3"/>
  <c r="AT16" i="3" s="1"/>
  <c r="AS119" i="3"/>
  <c r="AT119" i="3" s="1"/>
  <c r="AS106" i="3"/>
  <c r="AT106" i="3" s="1"/>
  <c r="AS78" i="3"/>
  <c r="AT78" i="3" s="1"/>
  <c r="AS6" i="3"/>
  <c r="AT6" i="3" s="1"/>
  <c r="AS79" i="3"/>
  <c r="AT79" i="3" s="1"/>
  <c r="AS89" i="3"/>
  <c r="AT89" i="3" s="1"/>
  <c r="AS58" i="3"/>
  <c r="AT58" i="3" s="1"/>
  <c r="AS33" i="3"/>
  <c r="AT33" i="3" s="1"/>
  <c r="AS14" i="3"/>
  <c r="AT14" i="3" s="1"/>
  <c r="AS61" i="3"/>
  <c r="AT61" i="3" s="1"/>
  <c r="AS13" i="3"/>
  <c r="AT13" i="3" s="1"/>
  <c r="AS57" i="3"/>
  <c r="AT57" i="3" s="1"/>
  <c r="AS116" i="3"/>
  <c r="AT116" i="3" s="1"/>
  <c r="AS70" i="3"/>
  <c r="AT70" i="3" s="1"/>
  <c r="AS45" i="3"/>
  <c r="AT45" i="3" s="1"/>
  <c r="AS54" i="3"/>
  <c r="AT54" i="3" s="1"/>
  <c r="AS27" i="3"/>
  <c r="AT27" i="3" s="1"/>
  <c r="AS15" i="3"/>
  <c r="AT15" i="3" s="1"/>
  <c r="AS110" i="3"/>
  <c r="AT110" i="3" s="1"/>
  <c r="AS108" i="3"/>
  <c r="AT108" i="3" s="1"/>
  <c r="AS51" i="3"/>
  <c r="AT51" i="3" s="1"/>
  <c r="AS8" i="3"/>
  <c r="AT8" i="3" s="1"/>
  <c r="AS85" i="3"/>
  <c r="AT85" i="3" s="1"/>
  <c r="AS5" i="3"/>
  <c r="AT5" i="3" s="1"/>
  <c r="AS84" i="3"/>
  <c r="AT84" i="3" s="1"/>
  <c r="AS37" i="3"/>
  <c r="AT37" i="3" s="1"/>
  <c r="AS100" i="3"/>
  <c r="AT100" i="3" s="1"/>
  <c r="AS11" i="3"/>
  <c r="AT11" i="3" s="1"/>
  <c r="AS9" i="3"/>
  <c r="AT9" i="3" s="1"/>
  <c r="AS112" i="3"/>
  <c r="AT112" i="3" s="1"/>
  <c r="AS71" i="3"/>
  <c r="AT71" i="3" s="1"/>
  <c r="AS69" i="3"/>
  <c r="AT69" i="3" s="1"/>
  <c r="AS30" i="3"/>
  <c r="AT30" i="3" s="1"/>
  <c r="AS96" i="3"/>
  <c r="AT96" i="3" s="1"/>
  <c r="AS92" i="3"/>
  <c r="AT92" i="3" s="1"/>
  <c r="AS39" i="3"/>
  <c r="AT39" i="3" s="1"/>
  <c r="AS21" i="3"/>
  <c r="AT21" i="3" s="1"/>
  <c r="AS28" i="3"/>
  <c r="AT28" i="3" s="1"/>
  <c r="AS101" i="3"/>
  <c r="AT101" i="3" s="1"/>
  <c r="AS105" i="3"/>
  <c r="AT105" i="3" s="1"/>
  <c r="AS59" i="3"/>
  <c r="AT59" i="3" s="1"/>
  <c r="AS38" i="3"/>
  <c r="AT38" i="3" s="1"/>
  <c r="AR3" i="3"/>
  <c r="AQ3" i="3"/>
  <c r="AS3" i="3" l="1"/>
  <c r="AT3" i="3" s="1"/>
  <c r="AU2" i="3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</calcChain>
</file>

<file path=xl/sharedStrings.xml><?xml version="1.0" encoding="utf-8"?>
<sst xmlns="http://schemas.openxmlformats.org/spreadsheetml/2006/main" count="60" uniqueCount="15">
  <si>
    <t>AVERAGE</t>
  </si>
  <si>
    <t>fuzzy n umber</t>
  </si>
  <si>
    <t>L</t>
  </si>
  <si>
    <t>M</t>
  </si>
  <si>
    <t>U</t>
  </si>
  <si>
    <t>Average l,MU</t>
  </si>
  <si>
    <t>Total Average</t>
  </si>
  <si>
    <t>Defuzzification</t>
  </si>
  <si>
    <t>Final score</t>
  </si>
  <si>
    <t>Pass/Not Pass</t>
  </si>
  <si>
    <t>Count Pass</t>
  </si>
  <si>
    <t>Number of respondents</t>
  </si>
  <si>
    <t>≥ 0.7</t>
  </si>
  <si>
    <t>61*</t>
  </si>
  <si>
    <t>68*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</si>
</sst>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 Lotus"/>
      <charset val="178"/>
    </font>
    <font>
      <sz val="10"/>
      <color theme="1"/>
      <name val="B Lotus"/>
      <charset val="178"/>
    </font>
    <font>
      <sz val="9"/>
      <color theme="1"/>
      <name val="B Lotus"/>
      <charset val="178"/>
    </font>
    <font>
      <sz val="11"/>
      <name val="B Lotus"/>
      <charset val="178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2" fontId="1" fillId="7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2" fontId="1" fillId="8" borderId="6" xfId="0" applyNumberFormat="1" applyFont="1" applyFill="1" applyBorder="1" applyAlignment="1">
      <alignment horizontal="center" wrapText="1"/>
    </xf>
    <xf numFmtId="2" fontId="1" fillId="8" borderId="7" xfId="0" applyNumberFormat="1" applyFont="1" applyFill="1" applyBorder="1" applyAlignment="1">
      <alignment horizontal="center" wrapText="1"/>
    </xf>
    <xf numFmtId="2" fontId="1" fillId="8" borderId="8" xfId="0" applyNumberFormat="1" applyFont="1" applyFill="1" applyBorder="1" applyAlignment="1">
      <alignment horizontal="center" wrapText="1"/>
    </xf>
    <xf numFmtId="2" fontId="4" fillId="8" borderId="6" xfId="0" applyNumberFormat="1" applyFont="1" applyFill="1" applyBorder="1" applyAlignment="1">
      <alignment horizontal="center" wrapText="1"/>
    </xf>
    <xf numFmtId="2" fontId="4" fillId="8" borderId="7" xfId="0" applyNumberFormat="1" applyFont="1" applyFill="1" applyBorder="1" applyAlignment="1">
      <alignment horizontal="center" wrapText="1"/>
    </xf>
    <xf numFmtId="2" fontId="4" fillId="8" borderId="8" xfId="0" applyNumberFormat="1" applyFont="1" applyFill="1" applyBorder="1" applyAlignment="1">
      <alignment horizontal="center" wrapText="1"/>
    </xf>
    <xf numFmtId="2" fontId="1" fillId="8" borderId="10" xfId="0" applyNumberFormat="1" applyFont="1" applyFill="1" applyBorder="1" applyAlignment="1">
      <alignment horizontal="center" wrapText="1"/>
    </xf>
    <xf numFmtId="2" fontId="1" fillId="8" borderId="11" xfId="0" applyNumberFormat="1" applyFont="1" applyFill="1" applyBorder="1" applyAlignment="1">
      <alignment horizontal="center" wrapText="1"/>
    </xf>
    <xf numFmtId="2" fontId="1" fillId="8" borderId="9" xfId="0" applyNumberFormat="1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  <color rgb="FFCC66FF"/>
      <color rgb="FF00CCFF"/>
      <color rgb="FF99FF99"/>
      <color rgb="FF3333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B1:P124"/>
  <sheetViews>
    <sheetView topLeftCell="A112" workbookViewId="0">
      <selection activeCell="H32" sqref="H32"/>
    </sheetView>
  </sheetViews>
  <sheetFormatPr defaultColWidth="9.1796875" defaultRowHeight="23.25" customHeight="1" x14ac:dyDescent="0.35"/>
  <cols>
    <col min="1" max="1" width="1.1796875" style="1" customWidth="1"/>
    <col min="2" max="2" width="5" style="1" customWidth="1"/>
    <col min="3" max="14" width="6.7265625" style="1" customWidth="1"/>
    <col min="15" max="15" width="14.7265625" style="1" customWidth="1"/>
    <col min="16" max="16" width="15.81640625" style="1" customWidth="1"/>
    <col min="17" max="16384" width="9.1796875" style="1"/>
  </cols>
  <sheetData>
    <row r="1" spans="2:16" ht="23.25" customHeight="1" x14ac:dyDescent="0.35">
      <c r="C1" s="26">
        <v>1</v>
      </c>
      <c r="D1" s="26">
        <v>2</v>
      </c>
      <c r="E1" s="26">
        <v>3</v>
      </c>
      <c r="F1" s="26">
        <v>4</v>
      </c>
      <c r="G1" s="26">
        <v>5</v>
      </c>
      <c r="H1" s="26">
        <v>6</v>
      </c>
      <c r="I1" s="26">
        <v>7</v>
      </c>
      <c r="J1" s="26">
        <v>8</v>
      </c>
      <c r="K1" s="26">
        <v>9</v>
      </c>
      <c r="L1" s="26">
        <v>10</v>
      </c>
      <c r="M1" s="26">
        <v>11</v>
      </c>
      <c r="N1" s="26">
        <v>12</v>
      </c>
      <c r="O1" s="30" t="s">
        <v>0</v>
      </c>
      <c r="P1" s="28" t="s">
        <v>11</v>
      </c>
    </row>
    <row r="2" spans="2:16" ht="12" customHeight="1" thickBot="1" x14ac:dyDescent="0.4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31"/>
      <c r="P2" s="29"/>
    </row>
    <row r="3" spans="2:16" ht="23.25" customHeight="1" thickBot="1" x14ac:dyDescent="0.4">
      <c r="B3" s="2">
        <v>1</v>
      </c>
      <c r="C3" s="3">
        <v>4</v>
      </c>
      <c r="D3" s="3">
        <v>3</v>
      </c>
      <c r="E3" s="3">
        <v>3</v>
      </c>
      <c r="F3" s="3">
        <v>5</v>
      </c>
      <c r="G3" s="3">
        <v>4</v>
      </c>
      <c r="H3" s="3">
        <v>4</v>
      </c>
      <c r="I3" s="3">
        <v>5</v>
      </c>
      <c r="J3" s="3">
        <v>4</v>
      </c>
      <c r="K3" s="3">
        <v>4</v>
      </c>
      <c r="L3" s="3">
        <v>4</v>
      </c>
      <c r="M3" s="4">
        <v>4</v>
      </c>
      <c r="N3" s="3">
        <v>5</v>
      </c>
      <c r="O3" s="5">
        <f>AVERAGE(C3:N3)</f>
        <v>4.083333333333333</v>
      </c>
      <c r="P3" s="6">
        <f>COUNT(C3:N3)</f>
        <v>12</v>
      </c>
    </row>
    <row r="4" spans="2:16" ht="23.25" customHeight="1" thickBot="1" x14ac:dyDescent="0.4">
      <c r="B4" s="2">
        <v>2</v>
      </c>
      <c r="C4" s="3">
        <v>4</v>
      </c>
      <c r="D4" s="3">
        <v>4</v>
      </c>
      <c r="E4" s="3">
        <v>4</v>
      </c>
      <c r="F4" s="3">
        <v>5</v>
      </c>
      <c r="G4" s="3">
        <v>5</v>
      </c>
      <c r="H4" s="3">
        <v>4</v>
      </c>
      <c r="I4" s="3">
        <v>5</v>
      </c>
      <c r="J4" s="3">
        <v>4</v>
      </c>
      <c r="K4" s="3">
        <v>3</v>
      </c>
      <c r="L4" s="3">
        <v>4</v>
      </c>
      <c r="M4" s="4">
        <v>4</v>
      </c>
      <c r="N4" s="3">
        <v>4</v>
      </c>
      <c r="O4" s="5">
        <f t="shared" ref="O4:O34" si="0">AVERAGE(C4:N4)</f>
        <v>4.166666666666667</v>
      </c>
    </row>
    <row r="5" spans="2:16" ht="23.25" customHeight="1" thickBot="1" x14ac:dyDescent="0.4">
      <c r="B5" s="2">
        <v>3</v>
      </c>
      <c r="C5" s="3">
        <v>5</v>
      </c>
      <c r="D5" s="3">
        <v>4</v>
      </c>
      <c r="E5" s="3">
        <v>5</v>
      </c>
      <c r="F5" s="3">
        <v>3</v>
      </c>
      <c r="G5" s="3">
        <v>5</v>
      </c>
      <c r="H5" s="3">
        <v>3</v>
      </c>
      <c r="I5" s="3">
        <v>5</v>
      </c>
      <c r="J5" s="3">
        <v>5</v>
      </c>
      <c r="K5" s="3">
        <v>5</v>
      </c>
      <c r="L5" s="3">
        <v>5</v>
      </c>
      <c r="M5" s="4">
        <v>5</v>
      </c>
      <c r="N5" s="3">
        <v>5</v>
      </c>
      <c r="O5" s="5">
        <f t="shared" si="0"/>
        <v>4.583333333333333</v>
      </c>
    </row>
    <row r="6" spans="2:16" ht="23.25" customHeight="1" thickBot="1" x14ac:dyDescent="0.4">
      <c r="B6" s="2">
        <v>4</v>
      </c>
      <c r="C6" s="3">
        <v>4</v>
      </c>
      <c r="D6" s="3">
        <v>4</v>
      </c>
      <c r="E6" s="3">
        <v>4</v>
      </c>
      <c r="F6" s="3">
        <v>3</v>
      </c>
      <c r="G6" s="3">
        <v>4</v>
      </c>
      <c r="H6" s="3">
        <v>5</v>
      </c>
      <c r="I6" s="3">
        <v>3</v>
      </c>
      <c r="J6" s="3">
        <v>4</v>
      </c>
      <c r="K6" s="3">
        <v>5</v>
      </c>
      <c r="L6" s="3">
        <v>5</v>
      </c>
      <c r="M6" s="4">
        <v>4</v>
      </c>
      <c r="N6" s="3">
        <v>4</v>
      </c>
      <c r="O6" s="5">
        <f t="shared" si="0"/>
        <v>4.083333333333333</v>
      </c>
    </row>
    <row r="7" spans="2:16" ht="23.25" customHeight="1" thickBot="1" x14ac:dyDescent="0.4">
      <c r="B7" s="2">
        <v>5</v>
      </c>
      <c r="C7" s="3">
        <v>5</v>
      </c>
      <c r="D7" s="3">
        <v>2</v>
      </c>
      <c r="E7" s="3">
        <v>3</v>
      </c>
      <c r="F7" s="3">
        <v>5</v>
      </c>
      <c r="G7" s="3">
        <v>5</v>
      </c>
      <c r="H7" s="3">
        <v>4</v>
      </c>
      <c r="I7" s="3">
        <v>5</v>
      </c>
      <c r="J7" s="3">
        <v>4</v>
      </c>
      <c r="K7" s="3">
        <v>4</v>
      </c>
      <c r="L7" s="3">
        <v>4</v>
      </c>
      <c r="M7" s="4">
        <v>4</v>
      </c>
      <c r="N7" s="3">
        <v>5</v>
      </c>
      <c r="O7" s="5">
        <f t="shared" si="0"/>
        <v>4.166666666666667</v>
      </c>
    </row>
    <row r="8" spans="2:16" ht="23.25" customHeight="1" thickBot="1" x14ac:dyDescent="0.4">
      <c r="B8" s="2">
        <v>6</v>
      </c>
      <c r="C8" s="3">
        <v>5</v>
      </c>
      <c r="D8" s="3">
        <v>3</v>
      </c>
      <c r="E8" s="3">
        <v>4</v>
      </c>
      <c r="F8" s="3">
        <v>5</v>
      </c>
      <c r="G8" s="3">
        <v>4</v>
      </c>
      <c r="H8" s="3">
        <v>3</v>
      </c>
      <c r="I8" s="3">
        <v>4</v>
      </c>
      <c r="J8" s="3">
        <v>4</v>
      </c>
      <c r="K8" s="3">
        <v>4</v>
      </c>
      <c r="L8" s="3">
        <v>4</v>
      </c>
      <c r="M8" s="4">
        <v>4</v>
      </c>
      <c r="N8" s="3">
        <v>5</v>
      </c>
      <c r="O8" s="5">
        <f t="shared" si="0"/>
        <v>4.083333333333333</v>
      </c>
    </row>
    <row r="9" spans="2:16" ht="23.25" customHeight="1" thickBot="1" x14ac:dyDescent="0.4">
      <c r="B9" s="2">
        <v>7</v>
      </c>
      <c r="C9" s="3">
        <v>4</v>
      </c>
      <c r="D9" s="3">
        <v>4</v>
      </c>
      <c r="E9" s="3">
        <v>4</v>
      </c>
      <c r="F9" s="3">
        <v>5</v>
      </c>
      <c r="G9" s="3">
        <v>4</v>
      </c>
      <c r="H9" s="3">
        <v>4</v>
      </c>
      <c r="I9" s="3">
        <v>4</v>
      </c>
      <c r="J9" s="3">
        <v>4</v>
      </c>
      <c r="K9" s="3">
        <v>3</v>
      </c>
      <c r="L9" s="3">
        <v>4</v>
      </c>
      <c r="M9" s="4">
        <v>4</v>
      </c>
      <c r="N9" s="3">
        <v>4</v>
      </c>
      <c r="O9" s="5">
        <f t="shared" si="0"/>
        <v>4</v>
      </c>
    </row>
    <row r="10" spans="2:16" ht="23.25" customHeight="1" thickBot="1" x14ac:dyDescent="0.4">
      <c r="B10" s="2">
        <v>8</v>
      </c>
      <c r="C10" s="3">
        <v>5</v>
      </c>
      <c r="D10" s="3">
        <v>3</v>
      </c>
      <c r="E10" s="3">
        <v>3</v>
      </c>
      <c r="F10" s="3">
        <v>3</v>
      </c>
      <c r="G10" s="3">
        <v>5</v>
      </c>
      <c r="H10" s="3">
        <v>3</v>
      </c>
      <c r="I10" s="3">
        <v>5</v>
      </c>
      <c r="J10" s="3">
        <v>5</v>
      </c>
      <c r="K10" s="3">
        <v>5</v>
      </c>
      <c r="L10" s="3">
        <v>5</v>
      </c>
      <c r="M10" s="4">
        <v>4</v>
      </c>
      <c r="N10" s="3">
        <v>5</v>
      </c>
      <c r="O10" s="5">
        <f t="shared" si="0"/>
        <v>4.25</v>
      </c>
    </row>
    <row r="11" spans="2:16" ht="23.25" customHeight="1" thickBot="1" x14ac:dyDescent="0.4">
      <c r="B11" s="2">
        <v>9</v>
      </c>
      <c r="C11" s="3">
        <v>5</v>
      </c>
      <c r="D11" s="3">
        <v>3</v>
      </c>
      <c r="E11" s="3">
        <v>5</v>
      </c>
      <c r="F11" s="3">
        <v>4</v>
      </c>
      <c r="G11" s="3">
        <v>5</v>
      </c>
      <c r="H11" s="3">
        <v>4</v>
      </c>
      <c r="I11" s="3">
        <v>5</v>
      </c>
      <c r="J11" s="3">
        <v>4</v>
      </c>
      <c r="K11" s="3">
        <v>5</v>
      </c>
      <c r="L11" s="3">
        <v>5</v>
      </c>
      <c r="M11" s="4">
        <v>4</v>
      </c>
      <c r="N11" s="3">
        <v>4</v>
      </c>
      <c r="O11" s="5">
        <f t="shared" si="0"/>
        <v>4.416666666666667</v>
      </c>
    </row>
    <row r="12" spans="2:16" ht="23.25" customHeight="1" thickBot="1" x14ac:dyDescent="0.4">
      <c r="B12" s="2">
        <v>10</v>
      </c>
      <c r="C12" s="3">
        <v>4</v>
      </c>
      <c r="D12" s="3">
        <v>3</v>
      </c>
      <c r="E12" s="3">
        <v>5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4">
        <v>4</v>
      </c>
      <c r="N12" s="3">
        <v>4</v>
      </c>
      <c r="O12" s="5">
        <f t="shared" si="0"/>
        <v>4</v>
      </c>
    </row>
    <row r="13" spans="2:16" ht="23.25" customHeight="1" thickBot="1" x14ac:dyDescent="0.4">
      <c r="B13" s="2">
        <v>11</v>
      </c>
      <c r="C13" s="3">
        <v>5</v>
      </c>
      <c r="D13" s="3">
        <v>3</v>
      </c>
      <c r="E13" s="3">
        <v>1</v>
      </c>
      <c r="F13" s="3">
        <v>5</v>
      </c>
      <c r="G13" s="3">
        <v>5</v>
      </c>
      <c r="H13" s="3">
        <v>2</v>
      </c>
      <c r="I13" s="3">
        <v>3</v>
      </c>
      <c r="J13" s="3">
        <v>5</v>
      </c>
      <c r="K13" s="3">
        <v>5</v>
      </c>
      <c r="L13" s="3">
        <v>5</v>
      </c>
      <c r="M13" s="4">
        <v>5</v>
      </c>
      <c r="N13" s="3">
        <v>5</v>
      </c>
      <c r="O13" s="5">
        <f t="shared" si="0"/>
        <v>4.083333333333333</v>
      </c>
    </row>
    <row r="14" spans="2:16" ht="23.25" customHeight="1" thickBot="1" x14ac:dyDescent="0.4">
      <c r="B14" s="2">
        <v>12</v>
      </c>
      <c r="C14" s="3">
        <v>5</v>
      </c>
      <c r="D14" s="3">
        <v>4</v>
      </c>
      <c r="E14" s="3">
        <v>3</v>
      </c>
      <c r="F14" s="3">
        <v>5</v>
      </c>
      <c r="G14" s="3">
        <v>5</v>
      </c>
      <c r="H14" s="3">
        <v>3</v>
      </c>
      <c r="I14" s="3">
        <v>3</v>
      </c>
      <c r="J14" s="3">
        <v>5</v>
      </c>
      <c r="K14" s="3">
        <v>5</v>
      </c>
      <c r="L14" s="3">
        <v>5</v>
      </c>
      <c r="M14" s="4">
        <v>4</v>
      </c>
      <c r="N14" s="3">
        <v>5</v>
      </c>
      <c r="O14" s="5">
        <f t="shared" si="0"/>
        <v>4.333333333333333</v>
      </c>
    </row>
    <row r="15" spans="2:16" ht="23.25" customHeight="1" thickBot="1" x14ac:dyDescent="0.4">
      <c r="B15" s="2">
        <v>13</v>
      </c>
      <c r="C15" s="3">
        <v>5</v>
      </c>
      <c r="D15" s="3">
        <v>3</v>
      </c>
      <c r="E15" s="3">
        <v>4</v>
      </c>
      <c r="F15" s="3">
        <v>5</v>
      </c>
      <c r="G15" s="3">
        <v>5</v>
      </c>
      <c r="H15" s="3">
        <v>3</v>
      </c>
      <c r="I15" s="3">
        <v>3</v>
      </c>
      <c r="J15" s="3">
        <v>4</v>
      </c>
      <c r="K15" s="3">
        <v>4</v>
      </c>
      <c r="L15" s="3">
        <v>4</v>
      </c>
      <c r="M15" s="4">
        <v>4</v>
      </c>
      <c r="N15" s="3">
        <v>5</v>
      </c>
      <c r="O15" s="5">
        <f t="shared" si="0"/>
        <v>4.083333333333333</v>
      </c>
    </row>
    <row r="16" spans="2:16" ht="23.25" customHeight="1" thickBot="1" x14ac:dyDescent="0.4">
      <c r="B16" s="2">
        <v>14</v>
      </c>
      <c r="C16" s="3">
        <v>4</v>
      </c>
      <c r="D16" s="3">
        <v>3</v>
      </c>
      <c r="E16" s="3">
        <v>2</v>
      </c>
      <c r="F16" s="3">
        <v>5</v>
      </c>
      <c r="G16" s="3">
        <v>3</v>
      </c>
      <c r="H16" s="3">
        <v>4</v>
      </c>
      <c r="I16" s="3">
        <v>3</v>
      </c>
      <c r="J16" s="3">
        <v>3</v>
      </c>
      <c r="K16" s="3">
        <v>1</v>
      </c>
      <c r="L16" s="3">
        <v>1</v>
      </c>
      <c r="M16" s="4">
        <v>2</v>
      </c>
      <c r="N16" s="3">
        <v>4</v>
      </c>
      <c r="O16" s="5">
        <f t="shared" si="0"/>
        <v>2.9166666666666665</v>
      </c>
    </row>
    <row r="17" spans="2:15" ht="23.25" customHeight="1" thickBot="1" x14ac:dyDescent="0.4">
      <c r="B17" s="2">
        <v>15</v>
      </c>
      <c r="C17" s="3">
        <v>5</v>
      </c>
      <c r="D17" s="3">
        <v>4</v>
      </c>
      <c r="E17" s="3">
        <v>2</v>
      </c>
      <c r="F17" s="3">
        <v>4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5</v>
      </c>
      <c r="M17" s="4">
        <v>5</v>
      </c>
      <c r="N17" s="3">
        <v>5</v>
      </c>
      <c r="O17" s="5">
        <f t="shared" si="0"/>
        <v>4.5</v>
      </c>
    </row>
    <row r="18" spans="2:15" ht="23.25" customHeight="1" thickBot="1" x14ac:dyDescent="0.4">
      <c r="B18" s="2">
        <v>16</v>
      </c>
      <c r="C18" s="3">
        <v>5</v>
      </c>
      <c r="D18" s="3">
        <v>3</v>
      </c>
      <c r="E18" s="3">
        <v>4</v>
      </c>
      <c r="F18" s="3">
        <v>4</v>
      </c>
      <c r="G18" s="3">
        <v>5</v>
      </c>
      <c r="H18" s="3">
        <v>3</v>
      </c>
      <c r="I18" s="3">
        <v>4</v>
      </c>
      <c r="J18" s="3">
        <v>4</v>
      </c>
      <c r="K18" s="3">
        <v>4</v>
      </c>
      <c r="L18" s="3">
        <v>4</v>
      </c>
      <c r="M18" s="4">
        <v>4</v>
      </c>
      <c r="N18" s="3">
        <v>4</v>
      </c>
      <c r="O18" s="5">
        <f t="shared" si="0"/>
        <v>4</v>
      </c>
    </row>
    <row r="19" spans="2:15" ht="23.25" customHeight="1" thickBot="1" x14ac:dyDescent="0.4">
      <c r="B19" s="2">
        <v>17</v>
      </c>
      <c r="C19" s="3">
        <v>5</v>
      </c>
      <c r="D19" s="3">
        <v>2</v>
      </c>
      <c r="E19" s="3">
        <v>1</v>
      </c>
      <c r="F19" s="3">
        <v>5</v>
      </c>
      <c r="G19" s="3">
        <v>5</v>
      </c>
      <c r="H19" s="3">
        <v>4</v>
      </c>
      <c r="I19" s="3">
        <v>5</v>
      </c>
      <c r="J19" s="3">
        <v>4</v>
      </c>
      <c r="K19" s="3">
        <v>5</v>
      </c>
      <c r="L19" s="3">
        <v>5</v>
      </c>
      <c r="M19" s="4">
        <v>4</v>
      </c>
      <c r="N19" s="3">
        <v>5</v>
      </c>
      <c r="O19" s="5">
        <f t="shared" si="0"/>
        <v>4.166666666666667</v>
      </c>
    </row>
    <row r="20" spans="2:15" ht="23.25" customHeight="1" thickBot="1" x14ac:dyDescent="0.4">
      <c r="B20" s="2">
        <v>18</v>
      </c>
      <c r="C20" s="3">
        <v>5</v>
      </c>
      <c r="D20" s="3">
        <v>4</v>
      </c>
      <c r="E20" s="3">
        <v>1</v>
      </c>
      <c r="F20" s="3">
        <v>5</v>
      </c>
      <c r="G20" s="3">
        <v>5</v>
      </c>
      <c r="H20" s="3">
        <v>3</v>
      </c>
      <c r="I20" s="3">
        <v>3</v>
      </c>
      <c r="J20" s="3">
        <v>5</v>
      </c>
      <c r="K20" s="3">
        <v>5</v>
      </c>
      <c r="L20" s="3">
        <v>5</v>
      </c>
      <c r="M20" s="4">
        <v>5</v>
      </c>
      <c r="N20" s="3">
        <v>5</v>
      </c>
      <c r="O20" s="5">
        <f t="shared" si="0"/>
        <v>4.25</v>
      </c>
    </row>
    <row r="21" spans="2:15" ht="23.25" customHeight="1" thickBot="1" x14ac:dyDescent="0.4">
      <c r="B21" s="2">
        <v>19</v>
      </c>
      <c r="C21" s="3">
        <v>5</v>
      </c>
      <c r="D21" s="3">
        <v>4</v>
      </c>
      <c r="E21" s="3">
        <v>4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4</v>
      </c>
      <c r="L21" s="3">
        <v>3</v>
      </c>
      <c r="M21" s="4">
        <v>4</v>
      </c>
      <c r="N21" s="3">
        <v>4</v>
      </c>
      <c r="O21" s="5">
        <f t="shared" si="0"/>
        <v>4.166666666666667</v>
      </c>
    </row>
    <row r="22" spans="2:15" ht="23.25" customHeight="1" thickBot="1" x14ac:dyDescent="0.4">
      <c r="B22" s="2">
        <v>20</v>
      </c>
      <c r="C22" s="3">
        <v>5</v>
      </c>
      <c r="D22" s="3">
        <v>3</v>
      </c>
      <c r="E22" s="3">
        <v>5</v>
      </c>
      <c r="F22" s="3">
        <v>5</v>
      </c>
      <c r="G22" s="3">
        <v>5</v>
      </c>
      <c r="H22" s="3">
        <v>2</v>
      </c>
      <c r="I22" s="3">
        <v>5</v>
      </c>
      <c r="J22" s="3">
        <v>4</v>
      </c>
      <c r="K22" s="3">
        <v>5</v>
      </c>
      <c r="L22" s="3">
        <v>5</v>
      </c>
      <c r="M22" s="4">
        <v>4</v>
      </c>
      <c r="N22" s="3">
        <v>5</v>
      </c>
      <c r="O22" s="5">
        <f t="shared" si="0"/>
        <v>4.416666666666667</v>
      </c>
    </row>
    <row r="23" spans="2:15" ht="23.25" customHeight="1" thickBot="1" x14ac:dyDescent="0.4">
      <c r="B23" s="2">
        <v>21</v>
      </c>
      <c r="C23" s="3">
        <v>5</v>
      </c>
      <c r="D23" s="3">
        <v>2</v>
      </c>
      <c r="E23" s="3">
        <v>1</v>
      </c>
      <c r="F23" s="3">
        <v>5</v>
      </c>
      <c r="G23" s="3">
        <v>5</v>
      </c>
      <c r="H23" s="3">
        <v>4</v>
      </c>
      <c r="I23" s="3">
        <v>5</v>
      </c>
      <c r="J23" s="3">
        <v>4</v>
      </c>
      <c r="K23" s="3">
        <v>5</v>
      </c>
      <c r="L23" s="3">
        <v>5</v>
      </c>
      <c r="M23" s="4">
        <v>4</v>
      </c>
      <c r="N23" s="3">
        <v>4</v>
      </c>
      <c r="O23" s="5">
        <f t="shared" si="0"/>
        <v>4.083333333333333</v>
      </c>
    </row>
    <row r="24" spans="2:15" ht="23.25" customHeight="1" thickBot="1" x14ac:dyDescent="0.4">
      <c r="B24" s="2">
        <v>22</v>
      </c>
      <c r="C24" s="3">
        <v>5</v>
      </c>
      <c r="D24" s="3">
        <v>3</v>
      </c>
      <c r="E24" s="3">
        <v>3</v>
      </c>
      <c r="F24" s="3">
        <v>5</v>
      </c>
      <c r="G24" s="3">
        <v>3</v>
      </c>
      <c r="H24" s="3">
        <v>4</v>
      </c>
      <c r="I24" s="3">
        <v>5</v>
      </c>
      <c r="J24" s="3">
        <v>4</v>
      </c>
      <c r="K24" s="3">
        <v>5</v>
      </c>
      <c r="L24" s="3">
        <v>5</v>
      </c>
      <c r="M24" s="4">
        <v>5</v>
      </c>
      <c r="N24" s="3">
        <v>5</v>
      </c>
      <c r="O24" s="5">
        <f t="shared" si="0"/>
        <v>4.333333333333333</v>
      </c>
    </row>
    <row r="25" spans="2:15" ht="23.25" customHeight="1" thickBot="1" x14ac:dyDescent="0.4">
      <c r="B25" s="2">
        <v>23</v>
      </c>
      <c r="C25" s="3">
        <v>5</v>
      </c>
      <c r="D25" s="3">
        <v>3</v>
      </c>
      <c r="E25" s="3">
        <v>5</v>
      </c>
      <c r="F25" s="3">
        <v>4</v>
      </c>
      <c r="G25" s="3">
        <v>2</v>
      </c>
      <c r="H25" s="3">
        <v>2</v>
      </c>
      <c r="I25" s="3">
        <v>5</v>
      </c>
      <c r="J25" s="3">
        <v>5</v>
      </c>
      <c r="K25" s="3">
        <v>4</v>
      </c>
      <c r="L25" s="3">
        <v>4</v>
      </c>
      <c r="M25" s="4">
        <v>5</v>
      </c>
      <c r="N25" s="3">
        <v>5</v>
      </c>
      <c r="O25" s="5">
        <f t="shared" si="0"/>
        <v>4.083333333333333</v>
      </c>
    </row>
    <row r="26" spans="2:15" ht="23.25" customHeight="1" thickBot="1" x14ac:dyDescent="0.4">
      <c r="B26" s="2">
        <v>24</v>
      </c>
      <c r="C26" s="3">
        <v>5</v>
      </c>
      <c r="D26" s="3">
        <v>4</v>
      </c>
      <c r="E26" s="3">
        <v>4</v>
      </c>
      <c r="F26" s="3">
        <v>4</v>
      </c>
      <c r="G26" s="3">
        <v>5</v>
      </c>
      <c r="H26" s="3">
        <v>5</v>
      </c>
      <c r="I26" s="3">
        <v>4</v>
      </c>
      <c r="J26" s="3">
        <v>4</v>
      </c>
      <c r="K26" s="3">
        <v>4</v>
      </c>
      <c r="L26" s="3">
        <v>4</v>
      </c>
      <c r="M26" s="4">
        <v>4</v>
      </c>
      <c r="N26" s="3">
        <v>4</v>
      </c>
      <c r="O26" s="5">
        <f t="shared" si="0"/>
        <v>4.25</v>
      </c>
    </row>
    <row r="27" spans="2:15" ht="23.25" customHeight="1" thickBot="1" x14ac:dyDescent="0.4">
      <c r="B27" s="2">
        <v>25</v>
      </c>
      <c r="C27" s="3">
        <v>5</v>
      </c>
      <c r="D27" s="3">
        <v>4</v>
      </c>
      <c r="E27" s="3">
        <v>2</v>
      </c>
      <c r="F27" s="3">
        <v>4</v>
      </c>
      <c r="G27" s="3">
        <v>3</v>
      </c>
      <c r="H27" s="3">
        <v>3</v>
      </c>
      <c r="I27" s="3">
        <v>5</v>
      </c>
      <c r="J27" s="3">
        <v>4</v>
      </c>
      <c r="K27" s="3">
        <v>4</v>
      </c>
      <c r="L27" s="3">
        <v>4</v>
      </c>
      <c r="M27" s="4">
        <v>5</v>
      </c>
      <c r="N27" s="3">
        <v>5</v>
      </c>
      <c r="O27" s="5">
        <f t="shared" si="0"/>
        <v>4</v>
      </c>
    </row>
    <row r="28" spans="2:15" ht="23.25" customHeight="1" thickBot="1" x14ac:dyDescent="0.4">
      <c r="B28" s="2">
        <v>26</v>
      </c>
      <c r="C28" s="3">
        <v>5</v>
      </c>
      <c r="D28" s="3">
        <v>2</v>
      </c>
      <c r="E28" s="3">
        <v>1</v>
      </c>
      <c r="F28" s="3">
        <v>4</v>
      </c>
      <c r="G28" s="3">
        <v>3</v>
      </c>
      <c r="H28" s="3">
        <v>4</v>
      </c>
      <c r="I28" s="3">
        <v>4</v>
      </c>
      <c r="J28" s="3">
        <v>4</v>
      </c>
      <c r="K28" s="3">
        <v>3</v>
      </c>
      <c r="L28" s="3">
        <v>3</v>
      </c>
      <c r="M28" s="4">
        <v>4</v>
      </c>
      <c r="N28" s="3">
        <v>4</v>
      </c>
      <c r="O28" s="5">
        <f t="shared" si="0"/>
        <v>3.4166666666666665</v>
      </c>
    </row>
    <row r="29" spans="2:15" ht="23.25" customHeight="1" thickBot="1" x14ac:dyDescent="0.4">
      <c r="B29" s="2">
        <v>27</v>
      </c>
      <c r="C29" s="3">
        <v>5</v>
      </c>
      <c r="D29" s="3">
        <v>4</v>
      </c>
      <c r="E29" s="3">
        <v>4</v>
      </c>
      <c r="F29" s="3">
        <v>3</v>
      </c>
      <c r="G29" s="3">
        <v>3</v>
      </c>
      <c r="H29" s="3">
        <v>2</v>
      </c>
      <c r="I29" s="3">
        <v>5</v>
      </c>
      <c r="J29" s="3">
        <v>4</v>
      </c>
      <c r="K29" s="3">
        <v>5</v>
      </c>
      <c r="L29" s="3">
        <v>5</v>
      </c>
      <c r="M29" s="4">
        <v>5</v>
      </c>
      <c r="N29" s="3">
        <v>5</v>
      </c>
      <c r="O29" s="5">
        <f t="shared" si="0"/>
        <v>4.166666666666667</v>
      </c>
    </row>
    <row r="30" spans="2:15" ht="23.25" customHeight="1" thickBot="1" x14ac:dyDescent="0.4">
      <c r="B30" s="2">
        <v>28</v>
      </c>
      <c r="C30" s="3">
        <v>5</v>
      </c>
      <c r="D30" s="3">
        <v>3</v>
      </c>
      <c r="E30" s="3">
        <v>4</v>
      </c>
      <c r="F30" s="3">
        <v>3</v>
      </c>
      <c r="G30" s="3">
        <v>3</v>
      </c>
      <c r="H30" s="3">
        <v>4</v>
      </c>
      <c r="I30" s="3">
        <v>4</v>
      </c>
      <c r="J30" s="3">
        <v>3</v>
      </c>
      <c r="K30" s="3">
        <v>2</v>
      </c>
      <c r="L30" s="3">
        <v>2</v>
      </c>
      <c r="M30" s="4">
        <v>3</v>
      </c>
      <c r="N30" s="3">
        <v>4</v>
      </c>
      <c r="O30" s="5">
        <f t="shared" si="0"/>
        <v>3.3333333333333335</v>
      </c>
    </row>
    <row r="31" spans="2:15" ht="23.25" customHeight="1" thickBot="1" x14ac:dyDescent="0.4">
      <c r="B31" s="2">
        <v>29</v>
      </c>
      <c r="C31" s="3">
        <v>5</v>
      </c>
      <c r="D31" s="3">
        <v>3</v>
      </c>
      <c r="E31" s="3">
        <v>2</v>
      </c>
      <c r="F31" s="3">
        <v>2</v>
      </c>
      <c r="G31" s="3">
        <v>4</v>
      </c>
      <c r="H31" s="3">
        <v>4</v>
      </c>
      <c r="I31" s="3">
        <v>5</v>
      </c>
      <c r="J31" s="3">
        <v>5</v>
      </c>
      <c r="K31" s="3">
        <v>5</v>
      </c>
      <c r="L31" s="3">
        <v>5</v>
      </c>
      <c r="M31" s="4">
        <v>4</v>
      </c>
      <c r="N31" s="3">
        <v>5</v>
      </c>
      <c r="O31" s="5">
        <f t="shared" si="0"/>
        <v>4.083333333333333</v>
      </c>
    </row>
    <row r="32" spans="2:15" ht="23.25" customHeight="1" thickBot="1" x14ac:dyDescent="0.4">
      <c r="B32" s="2">
        <v>30</v>
      </c>
      <c r="C32" s="3">
        <v>5</v>
      </c>
      <c r="D32" s="3">
        <v>3</v>
      </c>
      <c r="E32" s="3">
        <v>5</v>
      </c>
      <c r="F32" s="3">
        <v>1</v>
      </c>
      <c r="G32" s="3">
        <v>3</v>
      </c>
      <c r="H32" s="3">
        <v>4</v>
      </c>
      <c r="I32" s="3">
        <v>3</v>
      </c>
      <c r="J32" s="3">
        <v>3</v>
      </c>
      <c r="K32" s="3">
        <v>2</v>
      </c>
      <c r="L32" s="3">
        <v>2</v>
      </c>
      <c r="M32" s="4">
        <v>4</v>
      </c>
      <c r="N32" s="3">
        <v>4</v>
      </c>
      <c r="O32" s="5">
        <f t="shared" si="0"/>
        <v>3.25</v>
      </c>
    </row>
    <row r="33" spans="2:15" ht="23.25" customHeight="1" thickBot="1" x14ac:dyDescent="0.4">
      <c r="B33" s="2">
        <v>31</v>
      </c>
      <c r="C33" s="3">
        <v>5</v>
      </c>
      <c r="D33" s="3">
        <v>3</v>
      </c>
      <c r="E33" s="3">
        <v>5</v>
      </c>
      <c r="F33" s="3">
        <v>1</v>
      </c>
      <c r="G33" s="3">
        <v>3</v>
      </c>
      <c r="H33" s="3">
        <v>3</v>
      </c>
      <c r="I33" s="3">
        <v>5</v>
      </c>
      <c r="J33" s="3">
        <v>4</v>
      </c>
      <c r="K33" s="3">
        <v>5</v>
      </c>
      <c r="L33" s="3">
        <v>5</v>
      </c>
      <c r="M33" s="4">
        <v>5</v>
      </c>
      <c r="N33" s="3">
        <v>5</v>
      </c>
      <c r="O33" s="5">
        <f t="shared" si="0"/>
        <v>4.083333333333333</v>
      </c>
    </row>
    <row r="34" spans="2:15" ht="23.25" customHeight="1" thickBot="1" x14ac:dyDescent="0.4">
      <c r="B34" s="2">
        <v>32</v>
      </c>
      <c r="C34" s="3">
        <v>5</v>
      </c>
      <c r="D34" s="3">
        <v>3</v>
      </c>
      <c r="E34" s="3">
        <v>4</v>
      </c>
      <c r="F34" s="3">
        <v>3</v>
      </c>
      <c r="G34" s="3">
        <v>3</v>
      </c>
      <c r="H34" s="3">
        <v>4</v>
      </c>
      <c r="I34" s="3">
        <v>5</v>
      </c>
      <c r="J34" s="3">
        <v>5</v>
      </c>
      <c r="K34" s="3">
        <v>5</v>
      </c>
      <c r="L34" s="3">
        <v>5</v>
      </c>
      <c r="M34" s="4">
        <v>5</v>
      </c>
      <c r="N34" s="3">
        <v>5</v>
      </c>
      <c r="O34" s="5">
        <f t="shared" si="0"/>
        <v>4.333333333333333</v>
      </c>
    </row>
    <row r="35" spans="2:15" ht="23.25" customHeight="1" thickBot="1" x14ac:dyDescent="0.4">
      <c r="B35" s="2">
        <v>33</v>
      </c>
      <c r="C35" s="3">
        <v>4</v>
      </c>
      <c r="D35" s="3">
        <v>4</v>
      </c>
      <c r="E35" s="3">
        <v>3</v>
      </c>
      <c r="F35" s="3">
        <v>4</v>
      </c>
      <c r="G35" s="3">
        <v>2</v>
      </c>
      <c r="H35" s="3">
        <v>5</v>
      </c>
      <c r="I35" s="3">
        <v>5</v>
      </c>
      <c r="J35" s="3">
        <v>5</v>
      </c>
      <c r="K35" s="3">
        <v>5</v>
      </c>
      <c r="L35" s="3">
        <v>5</v>
      </c>
      <c r="M35" s="4">
        <v>4</v>
      </c>
      <c r="N35" s="3">
        <v>5</v>
      </c>
      <c r="O35" s="5">
        <f t="shared" ref="O35:O66" si="1">AVERAGE(C35:N35)</f>
        <v>4.25</v>
      </c>
    </row>
    <row r="36" spans="2:15" ht="23.25" customHeight="1" thickBot="1" x14ac:dyDescent="0.4">
      <c r="B36" s="2">
        <v>34</v>
      </c>
      <c r="C36" s="3">
        <v>5</v>
      </c>
      <c r="D36" s="3">
        <v>2</v>
      </c>
      <c r="E36" s="3">
        <v>2</v>
      </c>
      <c r="F36" s="3">
        <v>3</v>
      </c>
      <c r="G36" s="3">
        <v>2</v>
      </c>
      <c r="H36" s="3">
        <v>3</v>
      </c>
      <c r="I36" s="3">
        <v>5</v>
      </c>
      <c r="J36" s="3">
        <v>4</v>
      </c>
      <c r="K36" s="3">
        <v>2</v>
      </c>
      <c r="L36" s="3">
        <v>2</v>
      </c>
      <c r="M36" s="4">
        <v>4</v>
      </c>
      <c r="N36" s="3">
        <v>4</v>
      </c>
      <c r="O36" s="5">
        <f t="shared" si="1"/>
        <v>3.1666666666666665</v>
      </c>
    </row>
    <row r="37" spans="2:15" ht="23.25" customHeight="1" thickBot="1" x14ac:dyDescent="0.4">
      <c r="B37" s="2">
        <v>35</v>
      </c>
      <c r="C37" s="3">
        <v>5</v>
      </c>
      <c r="D37" s="3">
        <v>2</v>
      </c>
      <c r="E37" s="3">
        <v>3</v>
      </c>
      <c r="F37" s="3">
        <v>3</v>
      </c>
      <c r="G37" s="3">
        <v>2</v>
      </c>
      <c r="H37" s="3">
        <v>4</v>
      </c>
      <c r="I37" s="3">
        <v>5</v>
      </c>
      <c r="J37" s="3">
        <v>5</v>
      </c>
      <c r="K37" s="3">
        <v>5</v>
      </c>
      <c r="L37" s="3">
        <v>5</v>
      </c>
      <c r="M37" s="4">
        <v>5</v>
      </c>
      <c r="N37" s="3">
        <v>5</v>
      </c>
      <c r="O37" s="5">
        <f t="shared" si="1"/>
        <v>4.083333333333333</v>
      </c>
    </row>
    <row r="38" spans="2:15" ht="23.25" customHeight="1" thickBot="1" x14ac:dyDescent="0.4">
      <c r="B38" s="2">
        <v>36</v>
      </c>
      <c r="C38" s="3">
        <v>5</v>
      </c>
      <c r="D38" s="3">
        <v>4</v>
      </c>
      <c r="E38" s="3">
        <v>5</v>
      </c>
      <c r="F38" s="3">
        <v>3</v>
      </c>
      <c r="G38" s="3">
        <v>4</v>
      </c>
      <c r="H38" s="3">
        <v>3</v>
      </c>
      <c r="I38" s="3">
        <v>4</v>
      </c>
      <c r="J38" s="3">
        <v>4</v>
      </c>
      <c r="K38" s="3">
        <v>4</v>
      </c>
      <c r="L38" s="3">
        <v>4</v>
      </c>
      <c r="M38" s="4">
        <v>4</v>
      </c>
      <c r="N38" s="3">
        <v>4</v>
      </c>
      <c r="O38" s="5">
        <f t="shared" si="1"/>
        <v>4</v>
      </c>
    </row>
    <row r="39" spans="2:15" ht="23.25" customHeight="1" thickBot="1" x14ac:dyDescent="0.4">
      <c r="B39" s="2">
        <v>37</v>
      </c>
      <c r="C39" s="3">
        <v>5</v>
      </c>
      <c r="D39" s="3">
        <v>4</v>
      </c>
      <c r="E39" s="3">
        <v>4</v>
      </c>
      <c r="F39" s="3">
        <v>2</v>
      </c>
      <c r="G39" s="3">
        <v>3</v>
      </c>
      <c r="H39" s="3">
        <v>4</v>
      </c>
      <c r="I39" s="3">
        <v>4</v>
      </c>
      <c r="J39" s="3">
        <v>4</v>
      </c>
      <c r="K39" s="3">
        <v>5</v>
      </c>
      <c r="L39" s="3">
        <v>5</v>
      </c>
      <c r="M39" s="4">
        <v>5</v>
      </c>
      <c r="N39" s="3">
        <v>5</v>
      </c>
      <c r="O39" s="5">
        <f t="shared" si="1"/>
        <v>4.166666666666667</v>
      </c>
    </row>
    <row r="40" spans="2:15" ht="23.25" customHeight="1" thickBot="1" x14ac:dyDescent="0.4">
      <c r="B40" s="2">
        <v>38</v>
      </c>
      <c r="C40" s="3">
        <v>5</v>
      </c>
      <c r="D40" s="3">
        <v>3</v>
      </c>
      <c r="E40" s="3">
        <v>3</v>
      </c>
      <c r="F40" s="3">
        <v>5</v>
      </c>
      <c r="G40" s="3">
        <v>2</v>
      </c>
      <c r="H40" s="3">
        <v>3</v>
      </c>
      <c r="I40" s="3">
        <v>5</v>
      </c>
      <c r="J40" s="3">
        <v>5</v>
      </c>
      <c r="K40" s="3">
        <v>5</v>
      </c>
      <c r="L40" s="3">
        <v>5</v>
      </c>
      <c r="M40" s="4">
        <v>4</v>
      </c>
      <c r="N40" s="3">
        <v>4</v>
      </c>
      <c r="O40" s="5">
        <f t="shared" si="1"/>
        <v>4.083333333333333</v>
      </c>
    </row>
    <row r="41" spans="2:15" ht="23.25" customHeight="1" thickBot="1" x14ac:dyDescent="0.4">
      <c r="B41" s="2">
        <v>39</v>
      </c>
      <c r="C41" s="3">
        <v>5</v>
      </c>
      <c r="D41" s="3">
        <v>4</v>
      </c>
      <c r="E41" s="3">
        <v>5</v>
      </c>
      <c r="F41" s="3">
        <v>5</v>
      </c>
      <c r="G41" s="3">
        <v>2</v>
      </c>
      <c r="H41" s="3">
        <v>3</v>
      </c>
      <c r="I41" s="3">
        <v>5</v>
      </c>
      <c r="J41" s="3">
        <v>5</v>
      </c>
      <c r="K41" s="3">
        <v>5</v>
      </c>
      <c r="L41" s="3">
        <v>5</v>
      </c>
      <c r="M41" s="4">
        <v>5</v>
      </c>
      <c r="N41" s="3">
        <v>5</v>
      </c>
      <c r="O41" s="5">
        <f t="shared" si="1"/>
        <v>4.5</v>
      </c>
    </row>
    <row r="42" spans="2:15" ht="23.25" customHeight="1" thickBot="1" x14ac:dyDescent="0.4">
      <c r="B42" s="2">
        <v>40</v>
      </c>
      <c r="C42" s="3">
        <v>5</v>
      </c>
      <c r="D42" s="3">
        <v>4</v>
      </c>
      <c r="E42" s="3">
        <v>4</v>
      </c>
      <c r="F42" s="3">
        <v>5</v>
      </c>
      <c r="G42" s="3">
        <v>3</v>
      </c>
      <c r="H42" s="3">
        <v>3</v>
      </c>
      <c r="I42" s="3">
        <v>5</v>
      </c>
      <c r="J42" s="3">
        <v>5</v>
      </c>
      <c r="K42" s="3">
        <v>5</v>
      </c>
      <c r="L42" s="3">
        <v>5</v>
      </c>
      <c r="M42" s="4">
        <v>5</v>
      </c>
      <c r="N42" s="3">
        <v>5</v>
      </c>
      <c r="O42" s="5">
        <f t="shared" si="1"/>
        <v>4.5</v>
      </c>
    </row>
    <row r="43" spans="2:15" ht="23.25" customHeight="1" thickBot="1" x14ac:dyDescent="0.4">
      <c r="B43" s="2">
        <v>41</v>
      </c>
      <c r="C43" s="3">
        <v>5</v>
      </c>
      <c r="D43" s="3">
        <v>4</v>
      </c>
      <c r="E43" s="3">
        <v>5</v>
      </c>
      <c r="F43" s="3">
        <v>5</v>
      </c>
      <c r="G43" s="3">
        <v>4</v>
      </c>
      <c r="H43" s="3">
        <v>2</v>
      </c>
      <c r="I43" s="3">
        <v>5</v>
      </c>
      <c r="J43" s="3">
        <v>4</v>
      </c>
      <c r="K43" s="3">
        <v>4</v>
      </c>
      <c r="L43" s="3">
        <v>3</v>
      </c>
      <c r="M43" s="4">
        <v>4</v>
      </c>
      <c r="N43" s="3">
        <v>4</v>
      </c>
      <c r="O43" s="5">
        <f t="shared" si="1"/>
        <v>4.083333333333333</v>
      </c>
    </row>
    <row r="44" spans="2:15" ht="23.25" customHeight="1" thickBot="1" x14ac:dyDescent="0.4">
      <c r="B44" s="2">
        <v>42</v>
      </c>
      <c r="C44" s="3">
        <v>5</v>
      </c>
      <c r="D44" s="3">
        <v>1</v>
      </c>
      <c r="E44" s="3">
        <v>4</v>
      </c>
      <c r="F44" s="3">
        <v>5</v>
      </c>
      <c r="G44" s="3">
        <v>2</v>
      </c>
      <c r="H44" s="3">
        <v>4</v>
      </c>
      <c r="I44" s="3">
        <v>3</v>
      </c>
      <c r="J44" s="3">
        <v>2</v>
      </c>
      <c r="K44" s="3">
        <v>1</v>
      </c>
      <c r="L44" s="3">
        <v>4</v>
      </c>
      <c r="M44" s="4">
        <v>4</v>
      </c>
      <c r="N44" s="3">
        <v>3</v>
      </c>
      <c r="O44" s="5">
        <f t="shared" si="1"/>
        <v>3.1666666666666665</v>
      </c>
    </row>
    <row r="45" spans="2:15" ht="23.25" customHeight="1" thickBot="1" x14ac:dyDescent="0.4">
      <c r="B45" s="2">
        <v>43</v>
      </c>
      <c r="C45" s="3">
        <v>5</v>
      </c>
      <c r="D45" s="3">
        <v>2</v>
      </c>
      <c r="E45" s="3">
        <v>4</v>
      </c>
      <c r="F45" s="3">
        <v>5</v>
      </c>
      <c r="G45" s="3">
        <v>2</v>
      </c>
      <c r="H45" s="3">
        <v>2</v>
      </c>
      <c r="I45" s="3">
        <v>4</v>
      </c>
      <c r="J45" s="3">
        <v>4</v>
      </c>
      <c r="K45" s="3">
        <v>3</v>
      </c>
      <c r="L45" s="3">
        <v>3</v>
      </c>
      <c r="M45" s="4">
        <v>3</v>
      </c>
      <c r="N45" s="3">
        <v>4</v>
      </c>
      <c r="O45" s="5">
        <f t="shared" si="1"/>
        <v>3.4166666666666665</v>
      </c>
    </row>
    <row r="46" spans="2:15" ht="23.25" customHeight="1" thickBot="1" x14ac:dyDescent="0.4">
      <c r="B46" s="2">
        <v>44</v>
      </c>
      <c r="C46" s="3">
        <v>5</v>
      </c>
      <c r="D46" s="3">
        <v>2</v>
      </c>
      <c r="E46" s="3">
        <v>5</v>
      </c>
      <c r="F46" s="3">
        <v>5</v>
      </c>
      <c r="G46" s="3">
        <v>4</v>
      </c>
      <c r="H46" s="3">
        <v>4</v>
      </c>
      <c r="I46" s="3">
        <v>5</v>
      </c>
      <c r="J46" s="3">
        <v>4</v>
      </c>
      <c r="K46" s="3">
        <v>4</v>
      </c>
      <c r="L46" s="3">
        <v>4</v>
      </c>
      <c r="M46" s="4">
        <v>3</v>
      </c>
      <c r="N46" s="3">
        <v>4</v>
      </c>
      <c r="O46" s="5">
        <f t="shared" si="1"/>
        <v>4.083333333333333</v>
      </c>
    </row>
    <row r="47" spans="2:15" ht="23.25" customHeight="1" thickBot="1" x14ac:dyDescent="0.4">
      <c r="B47" s="2">
        <v>45</v>
      </c>
      <c r="C47" s="3">
        <v>5</v>
      </c>
      <c r="D47" s="3">
        <v>3</v>
      </c>
      <c r="E47" s="3">
        <v>1</v>
      </c>
      <c r="F47" s="3">
        <v>4</v>
      </c>
      <c r="G47" s="3">
        <v>4</v>
      </c>
      <c r="H47" s="3">
        <v>3</v>
      </c>
      <c r="I47" s="3">
        <v>5</v>
      </c>
      <c r="J47" s="3">
        <v>5</v>
      </c>
      <c r="K47" s="3">
        <v>5</v>
      </c>
      <c r="L47" s="3">
        <v>5</v>
      </c>
      <c r="M47" s="4">
        <v>5</v>
      </c>
      <c r="N47" s="3">
        <v>5</v>
      </c>
      <c r="O47" s="5">
        <f t="shared" si="1"/>
        <v>4.166666666666667</v>
      </c>
    </row>
    <row r="48" spans="2:15" ht="23.25" customHeight="1" thickBot="1" x14ac:dyDescent="0.4">
      <c r="B48" s="2">
        <v>46</v>
      </c>
      <c r="C48" s="3">
        <v>5</v>
      </c>
      <c r="D48" s="3">
        <v>3</v>
      </c>
      <c r="E48" s="3">
        <v>4</v>
      </c>
      <c r="F48" s="3">
        <v>4</v>
      </c>
      <c r="G48" s="3">
        <v>2</v>
      </c>
      <c r="H48" s="3">
        <v>4</v>
      </c>
      <c r="I48" s="3">
        <v>5</v>
      </c>
      <c r="J48" s="3">
        <v>5</v>
      </c>
      <c r="K48" s="3">
        <v>5</v>
      </c>
      <c r="L48" s="3">
        <v>5</v>
      </c>
      <c r="M48" s="4">
        <v>5</v>
      </c>
      <c r="N48" s="3">
        <v>5</v>
      </c>
      <c r="O48" s="5">
        <f t="shared" si="1"/>
        <v>4.333333333333333</v>
      </c>
    </row>
    <row r="49" spans="2:15" ht="23.25" customHeight="1" thickBot="1" x14ac:dyDescent="0.4">
      <c r="B49" s="2">
        <v>47</v>
      </c>
      <c r="C49" s="3">
        <v>5</v>
      </c>
      <c r="D49" s="3">
        <v>3</v>
      </c>
      <c r="E49" s="3">
        <v>4</v>
      </c>
      <c r="F49" s="3">
        <v>5</v>
      </c>
      <c r="G49" s="3">
        <v>3</v>
      </c>
      <c r="H49" s="3">
        <v>3</v>
      </c>
      <c r="I49" s="3">
        <v>5</v>
      </c>
      <c r="J49" s="3">
        <v>5</v>
      </c>
      <c r="K49" s="3">
        <v>5</v>
      </c>
      <c r="L49" s="3">
        <v>5</v>
      </c>
      <c r="M49" s="4">
        <v>5</v>
      </c>
      <c r="N49" s="3">
        <v>5</v>
      </c>
      <c r="O49" s="5">
        <f t="shared" si="1"/>
        <v>4.416666666666667</v>
      </c>
    </row>
    <row r="50" spans="2:15" ht="23.25" customHeight="1" thickBot="1" x14ac:dyDescent="0.4">
      <c r="B50" s="2">
        <v>48</v>
      </c>
      <c r="C50" s="3">
        <v>5</v>
      </c>
      <c r="D50" s="3">
        <v>3</v>
      </c>
      <c r="E50" s="3">
        <v>5</v>
      </c>
      <c r="F50" s="3">
        <v>5</v>
      </c>
      <c r="G50" s="3">
        <v>2</v>
      </c>
      <c r="H50" s="3">
        <v>3</v>
      </c>
      <c r="I50" s="3">
        <v>5</v>
      </c>
      <c r="J50" s="3">
        <v>5</v>
      </c>
      <c r="K50" s="3">
        <v>5</v>
      </c>
      <c r="L50" s="3">
        <v>5</v>
      </c>
      <c r="M50" s="4">
        <v>5</v>
      </c>
      <c r="N50" s="3">
        <v>5</v>
      </c>
      <c r="O50" s="5">
        <f t="shared" si="1"/>
        <v>4.416666666666667</v>
      </c>
    </row>
    <row r="51" spans="2:15" ht="23.25" customHeight="1" thickBot="1" x14ac:dyDescent="0.4">
      <c r="B51" s="2">
        <v>49</v>
      </c>
      <c r="C51" s="3">
        <v>5</v>
      </c>
      <c r="D51" s="3">
        <v>2</v>
      </c>
      <c r="E51" s="3">
        <v>4</v>
      </c>
      <c r="F51" s="3">
        <v>5</v>
      </c>
      <c r="G51" s="3">
        <v>1</v>
      </c>
      <c r="H51" s="3">
        <v>4</v>
      </c>
      <c r="I51" s="3">
        <v>4</v>
      </c>
      <c r="J51" s="3">
        <v>5</v>
      </c>
      <c r="K51" s="3">
        <v>4</v>
      </c>
      <c r="L51" s="3">
        <v>4</v>
      </c>
      <c r="M51" s="4">
        <v>5</v>
      </c>
      <c r="N51" s="3">
        <v>5</v>
      </c>
      <c r="O51" s="5">
        <f t="shared" si="1"/>
        <v>4</v>
      </c>
    </row>
    <row r="52" spans="2:15" ht="23.25" customHeight="1" thickBot="1" x14ac:dyDescent="0.4">
      <c r="B52" s="2">
        <v>50</v>
      </c>
      <c r="C52" s="3">
        <v>5</v>
      </c>
      <c r="D52" s="3">
        <v>4</v>
      </c>
      <c r="E52" s="3">
        <v>3</v>
      </c>
      <c r="F52" s="3">
        <v>5</v>
      </c>
      <c r="G52" s="3">
        <v>2</v>
      </c>
      <c r="H52" s="3">
        <v>2</v>
      </c>
      <c r="I52" s="3">
        <v>5</v>
      </c>
      <c r="J52" s="3">
        <v>5</v>
      </c>
      <c r="K52" s="3">
        <v>5</v>
      </c>
      <c r="L52" s="3">
        <v>5</v>
      </c>
      <c r="M52" s="4">
        <v>4</v>
      </c>
      <c r="N52" s="3">
        <v>5</v>
      </c>
      <c r="O52" s="5">
        <f t="shared" si="1"/>
        <v>4.166666666666667</v>
      </c>
    </row>
    <row r="53" spans="2:15" ht="23.25" customHeight="1" thickBot="1" x14ac:dyDescent="0.4">
      <c r="B53" s="2">
        <v>51</v>
      </c>
      <c r="C53" s="3">
        <v>5</v>
      </c>
      <c r="D53" s="3">
        <v>5</v>
      </c>
      <c r="E53" s="3">
        <v>3</v>
      </c>
      <c r="F53" s="3">
        <v>5</v>
      </c>
      <c r="G53" s="3">
        <v>2</v>
      </c>
      <c r="H53" s="3">
        <v>3</v>
      </c>
      <c r="I53" s="3">
        <v>5</v>
      </c>
      <c r="J53" s="3">
        <v>4</v>
      </c>
      <c r="K53" s="3">
        <v>5</v>
      </c>
      <c r="L53" s="3">
        <v>5</v>
      </c>
      <c r="M53" s="4">
        <v>4</v>
      </c>
      <c r="N53" s="3">
        <v>5</v>
      </c>
      <c r="O53" s="5">
        <f t="shared" si="1"/>
        <v>4.25</v>
      </c>
    </row>
    <row r="54" spans="2:15" ht="23.25" customHeight="1" thickBot="1" x14ac:dyDescent="0.4">
      <c r="B54" s="2">
        <v>52</v>
      </c>
      <c r="C54" s="3">
        <v>5</v>
      </c>
      <c r="D54" s="3">
        <v>3</v>
      </c>
      <c r="E54" s="3">
        <v>5</v>
      </c>
      <c r="F54" s="3">
        <v>5</v>
      </c>
      <c r="G54" s="3">
        <v>2</v>
      </c>
      <c r="H54" s="3">
        <v>2</v>
      </c>
      <c r="I54" s="3">
        <v>4</v>
      </c>
      <c r="J54" s="3">
        <v>4</v>
      </c>
      <c r="K54" s="3">
        <v>2</v>
      </c>
      <c r="L54" s="3">
        <v>2</v>
      </c>
      <c r="M54" s="4">
        <v>3</v>
      </c>
      <c r="N54" s="3">
        <v>4</v>
      </c>
      <c r="O54" s="5">
        <f t="shared" si="1"/>
        <v>3.4166666666666665</v>
      </c>
    </row>
    <row r="55" spans="2:15" ht="23.25" customHeight="1" thickBot="1" x14ac:dyDescent="0.4">
      <c r="B55" s="2">
        <v>53</v>
      </c>
      <c r="C55" s="3">
        <v>5</v>
      </c>
      <c r="D55" s="3">
        <v>4</v>
      </c>
      <c r="E55" s="3">
        <v>4</v>
      </c>
      <c r="F55" s="3">
        <v>5</v>
      </c>
      <c r="G55" s="3">
        <v>2</v>
      </c>
      <c r="H55" s="3">
        <v>3</v>
      </c>
      <c r="I55" s="3">
        <v>5</v>
      </c>
      <c r="J55" s="3">
        <v>4</v>
      </c>
      <c r="K55" s="3">
        <v>5</v>
      </c>
      <c r="L55" s="3">
        <v>5</v>
      </c>
      <c r="M55" s="4">
        <v>3</v>
      </c>
      <c r="N55" s="3">
        <v>4</v>
      </c>
      <c r="O55" s="5">
        <f t="shared" si="1"/>
        <v>4.083333333333333</v>
      </c>
    </row>
    <row r="56" spans="2:15" ht="23.25" customHeight="1" thickBot="1" x14ac:dyDescent="0.4">
      <c r="B56" s="2">
        <v>54</v>
      </c>
      <c r="C56" s="3">
        <v>5</v>
      </c>
      <c r="D56" s="3">
        <v>4</v>
      </c>
      <c r="E56" s="3">
        <v>4</v>
      </c>
      <c r="F56" s="3">
        <v>4</v>
      </c>
      <c r="G56" s="3">
        <v>3</v>
      </c>
      <c r="H56" s="3">
        <v>2</v>
      </c>
      <c r="I56" s="3">
        <v>5</v>
      </c>
      <c r="J56" s="3">
        <v>4</v>
      </c>
      <c r="K56" s="3">
        <v>5</v>
      </c>
      <c r="L56" s="3">
        <v>5</v>
      </c>
      <c r="M56" s="4">
        <v>4</v>
      </c>
      <c r="N56" s="3">
        <v>5</v>
      </c>
      <c r="O56" s="5">
        <f t="shared" si="1"/>
        <v>4.166666666666667</v>
      </c>
    </row>
    <row r="57" spans="2:15" ht="23.25" customHeight="1" thickBot="1" x14ac:dyDescent="0.4">
      <c r="B57" s="2">
        <v>55</v>
      </c>
      <c r="C57" s="3">
        <v>4</v>
      </c>
      <c r="D57" s="3">
        <v>4</v>
      </c>
      <c r="E57" s="3">
        <v>4</v>
      </c>
      <c r="F57" s="3">
        <v>4</v>
      </c>
      <c r="G57" s="3">
        <v>4</v>
      </c>
      <c r="H57" s="3">
        <v>4</v>
      </c>
      <c r="I57" s="3">
        <v>5</v>
      </c>
      <c r="J57" s="3">
        <v>4</v>
      </c>
      <c r="K57" s="3">
        <v>4</v>
      </c>
      <c r="L57" s="3">
        <v>4</v>
      </c>
      <c r="M57" s="4">
        <v>4</v>
      </c>
      <c r="N57" s="3">
        <v>4</v>
      </c>
      <c r="O57" s="5">
        <f t="shared" si="1"/>
        <v>4.083333333333333</v>
      </c>
    </row>
    <row r="58" spans="2:15" ht="23.25" customHeight="1" thickBot="1" x14ac:dyDescent="0.4">
      <c r="B58" s="2">
        <v>56</v>
      </c>
      <c r="C58" s="3">
        <v>5</v>
      </c>
      <c r="D58" s="3">
        <v>2</v>
      </c>
      <c r="E58" s="3">
        <v>4</v>
      </c>
      <c r="F58" s="3">
        <v>5</v>
      </c>
      <c r="G58" s="3">
        <v>1</v>
      </c>
      <c r="H58" s="3">
        <v>3</v>
      </c>
      <c r="I58" s="3">
        <v>3</v>
      </c>
      <c r="J58" s="3">
        <v>3</v>
      </c>
      <c r="K58" s="3">
        <v>1</v>
      </c>
      <c r="L58" s="3">
        <v>1</v>
      </c>
      <c r="M58" s="4">
        <v>2</v>
      </c>
      <c r="N58" s="3">
        <v>3</v>
      </c>
      <c r="O58" s="5">
        <f t="shared" si="1"/>
        <v>2.75</v>
      </c>
    </row>
    <row r="59" spans="2:15" ht="23.25" customHeight="1" thickBot="1" x14ac:dyDescent="0.4">
      <c r="B59" s="2">
        <v>57</v>
      </c>
      <c r="C59" s="3">
        <v>4</v>
      </c>
      <c r="D59" s="3">
        <v>3</v>
      </c>
      <c r="E59" s="3">
        <v>5</v>
      </c>
      <c r="F59" s="3">
        <v>5</v>
      </c>
      <c r="G59" s="3">
        <v>2</v>
      </c>
      <c r="H59" s="3">
        <v>3</v>
      </c>
      <c r="I59" s="3">
        <v>4</v>
      </c>
      <c r="J59" s="3">
        <v>4</v>
      </c>
      <c r="K59" s="3">
        <v>2</v>
      </c>
      <c r="L59" s="3">
        <v>1</v>
      </c>
      <c r="M59" s="4">
        <v>2</v>
      </c>
      <c r="N59" s="3">
        <v>3</v>
      </c>
      <c r="O59" s="5">
        <f t="shared" si="1"/>
        <v>3.1666666666666665</v>
      </c>
    </row>
    <row r="60" spans="2:15" ht="23.25" customHeight="1" thickBot="1" x14ac:dyDescent="0.4">
      <c r="B60" s="2">
        <v>58</v>
      </c>
      <c r="C60" s="3">
        <v>5</v>
      </c>
      <c r="D60" s="3">
        <v>1</v>
      </c>
      <c r="E60" s="3">
        <v>5</v>
      </c>
      <c r="F60" s="3">
        <v>5</v>
      </c>
      <c r="G60" s="3">
        <v>2</v>
      </c>
      <c r="H60" s="3">
        <v>4</v>
      </c>
      <c r="I60" s="3">
        <v>5</v>
      </c>
      <c r="J60" s="3">
        <v>4</v>
      </c>
      <c r="K60" s="3">
        <v>2</v>
      </c>
      <c r="L60" s="3">
        <v>2</v>
      </c>
      <c r="M60" s="4">
        <v>2</v>
      </c>
      <c r="N60" s="3">
        <v>4</v>
      </c>
      <c r="O60" s="5">
        <f t="shared" si="1"/>
        <v>3.4166666666666665</v>
      </c>
    </row>
    <row r="61" spans="2:15" ht="23.25" customHeight="1" thickBot="1" x14ac:dyDescent="0.4">
      <c r="B61" s="2">
        <v>59</v>
      </c>
      <c r="C61" s="3">
        <v>5</v>
      </c>
      <c r="D61" s="3">
        <v>4</v>
      </c>
      <c r="E61" s="3">
        <v>5</v>
      </c>
      <c r="F61" s="3">
        <v>5</v>
      </c>
      <c r="G61" s="3">
        <v>5</v>
      </c>
      <c r="H61" s="3">
        <v>3</v>
      </c>
      <c r="I61" s="3">
        <v>4</v>
      </c>
      <c r="J61" s="3">
        <v>4</v>
      </c>
      <c r="K61" s="3">
        <v>4</v>
      </c>
      <c r="L61" s="3">
        <v>3</v>
      </c>
      <c r="M61" s="4">
        <v>4</v>
      </c>
      <c r="N61" s="3">
        <v>4</v>
      </c>
      <c r="O61" s="5">
        <f t="shared" si="1"/>
        <v>4.166666666666667</v>
      </c>
    </row>
    <row r="62" spans="2:15" ht="23.25" customHeight="1" thickBot="1" x14ac:dyDescent="0.4">
      <c r="B62" s="2">
        <v>60</v>
      </c>
      <c r="C62" s="3">
        <v>5</v>
      </c>
      <c r="D62" s="3">
        <v>4</v>
      </c>
      <c r="E62" s="3">
        <v>5</v>
      </c>
      <c r="F62" s="3">
        <v>4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  <c r="L62" s="3">
        <v>4</v>
      </c>
      <c r="M62" s="4">
        <v>3</v>
      </c>
      <c r="N62" s="3">
        <v>4</v>
      </c>
      <c r="O62" s="5">
        <f t="shared" si="1"/>
        <v>4.083333333333333</v>
      </c>
    </row>
    <row r="63" spans="2:15" ht="23.25" customHeight="1" thickBot="1" x14ac:dyDescent="0.4">
      <c r="B63" s="2">
        <v>61</v>
      </c>
      <c r="C63" s="3">
        <v>5</v>
      </c>
      <c r="D63" s="3">
        <v>4</v>
      </c>
      <c r="E63" s="3">
        <v>5</v>
      </c>
      <c r="F63" s="3">
        <v>4</v>
      </c>
      <c r="G63" s="3">
        <v>2</v>
      </c>
      <c r="H63" s="3">
        <v>3</v>
      </c>
      <c r="I63" s="3">
        <v>5</v>
      </c>
      <c r="J63" s="3">
        <v>5</v>
      </c>
      <c r="K63" s="3">
        <v>4</v>
      </c>
      <c r="L63" s="3">
        <v>5</v>
      </c>
      <c r="M63" s="4">
        <v>4</v>
      </c>
      <c r="N63" s="3">
        <v>5</v>
      </c>
      <c r="O63" s="5">
        <f t="shared" si="1"/>
        <v>4.25</v>
      </c>
    </row>
    <row r="64" spans="2:15" ht="23.25" customHeight="1" thickBot="1" x14ac:dyDescent="0.4">
      <c r="B64" s="2" t="s">
        <v>13</v>
      </c>
      <c r="C64" s="3">
        <v>5</v>
      </c>
      <c r="D64" s="3">
        <v>4</v>
      </c>
      <c r="E64" s="3">
        <v>5</v>
      </c>
      <c r="F64" s="3">
        <v>3</v>
      </c>
      <c r="G64" s="3">
        <v>5</v>
      </c>
      <c r="H64" s="3">
        <v>4</v>
      </c>
      <c r="I64" s="3">
        <v>4</v>
      </c>
      <c r="J64" s="3">
        <v>4</v>
      </c>
      <c r="K64" s="3">
        <v>4</v>
      </c>
      <c r="L64" s="3">
        <v>4</v>
      </c>
      <c r="M64" s="4">
        <v>4</v>
      </c>
      <c r="N64" s="3">
        <v>4</v>
      </c>
      <c r="O64" s="5">
        <f t="shared" si="1"/>
        <v>4.166666666666667</v>
      </c>
    </row>
    <row r="65" spans="2:15" ht="23.25" customHeight="1" thickBot="1" x14ac:dyDescent="0.4">
      <c r="B65" s="2">
        <v>62</v>
      </c>
      <c r="C65" s="3">
        <v>5</v>
      </c>
      <c r="D65" s="3">
        <v>3</v>
      </c>
      <c r="E65" s="3">
        <v>5</v>
      </c>
      <c r="F65" s="3">
        <v>3</v>
      </c>
      <c r="G65" s="3">
        <v>5</v>
      </c>
      <c r="H65" s="3">
        <v>4</v>
      </c>
      <c r="I65" s="3">
        <v>4</v>
      </c>
      <c r="J65" s="3">
        <v>4</v>
      </c>
      <c r="K65" s="3">
        <v>4</v>
      </c>
      <c r="L65" s="3">
        <v>4</v>
      </c>
      <c r="M65" s="4">
        <v>4</v>
      </c>
      <c r="N65" s="3">
        <v>4</v>
      </c>
      <c r="O65" s="5">
        <f t="shared" si="1"/>
        <v>4.083333333333333</v>
      </c>
    </row>
    <row r="66" spans="2:15" ht="23.25" customHeight="1" thickBot="1" x14ac:dyDescent="0.4">
      <c r="B66" s="2">
        <v>63</v>
      </c>
      <c r="C66" s="3">
        <v>4</v>
      </c>
      <c r="D66" s="3">
        <v>3</v>
      </c>
      <c r="E66" s="3">
        <v>5</v>
      </c>
      <c r="F66" s="3">
        <v>2</v>
      </c>
      <c r="G66" s="3">
        <v>3</v>
      </c>
      <c r="H66" s="3">
        <v>2</v>
      </c>
      <c r="I66" s="3">
        <v>5</v>
      </c>
      <c r="J66" s="3">
        <v>4</v>
      </c>
      <c r="K66" s="3">
        <v>5</v>
      </c>
      <c r="L66" s="3">
        <v>5</v>
      </c>
      <c r="M66" s="4">
        <v>5</v>
      </c>
      <c r="N66" s="3">
        <v>5</v>
      </c>
      <c r="O66" s="5">
        <f t="shared" si="1"/>
        <v>4</v>
      </c>
    </row>
    <row r="67" spans="2:15" ht="23.25" customHeight="1" thickBot="1" x14ac:dyDescent="0.4">
      <c r="B67" s="2">
        <v>64</v>
      </c>
      <c r="C67" s="3">
        <v>5</v>
      </c>
      <c r="D67" s="3">
        <v>2</v>
      </c>
      <c r="E67" s="3">
        <v>5</v>
      </c>
      <c r="F67" s="3">
        <v>5</v>
      </c>
      <c r="G67" s="3">
        <v>3</v>
      </c>
      <c r="H67" s="3">
        <v>4</v>
      </c>
      <c r="I67" s="3">
        <v>4</v>
      </c>
      <c r="J67" s="3">
        <v>4</v>
      </c>
      <c r="K67" s="3">
        <v>5</v>
      </c>
      <c r="L67" s="3">
        <v>5</v>
      </c>
      <c r="M67" s="4">
        <v>4</v>
      </c>
      <c r="N67" s="3">
        <v>4</v>
      </c>
      <c r="O67" s="5">
        <f t="shared" ref="O67:O75" si="2">AVERAGE(C67:N67)</f>
        <v>4.166666666666667</v>
      </c>
    </row>
    <row r="68" spans="2:15" ht="23.25" customHeight="1" thickBot="1" x14ac:dyDescent="0.4">
      <c r="B68" s="2">
        <v>65</v>
      </c>
      <c r="C68" s="3">
        <v>5</v>
      </c>
      <c r="D68" s="3">
        <v>4</v>
      </c>
      <c r="E68" s="3">
        <v>5</v>
      </c>
      <c r="F68" s="3">
        <v>5</v>
      </c>
      <c r="G68" s="3">
        <v>4</v>
      </c>
      <c r="H68" s="3">
        <v>3</v>
      </c>
      <c r="I68" s="3">
        <v>5</v>
      </c>
      <c r="J68" s="3">
        <v>3</v>
      </c>
      <c r="K68" s="3">
        <v>4</v>
      </c>
      <c r="L68" s="3">
        <v>4</v>
      </c>
      <c r="M68" s="4">
        <v>3</v>
      </c>
      <c r="N68" s="3">
        <v>4</v>
      </c>
      <c r="O68" s="5">
        <f t="shared" si="2"/>
        <v>4.083333333333333</v>
      </c>
    </row>
    <row r="69" spans="2:15" ht="23.25" customHeight="1" thickBot="1" x14ac:dyDescent="0.4">
      <c r="B69" s="2">
        <v>66</v>
      </c>
      <c r="C69" s="3">
        <v>5</v>
      </c>
      <c r="D69" s="3">
        <v>2</v>
      </c>
      <c r="E69" s="3">
        <v>5</v>
      </c>
      <c r="F69" s="3">
        <v>5</v>
      </c>
      <c r="G69" s="3">
        <v>4</v>
      </c>
      <c r="H69" s="3">
        <v>3</v>
      </c>
      <c r="I69" s="3">
        <v>5</v>
      </c>
      <c r="J69" s="3">
        <v>4</v>
      </c>
      <c r="K69" s="3">
        <v>5</v>
      </c>
      <c r="L69" s="3">
        <v>4</v>
      </c>
      <c r="M69" s="4">
        <v>4</v>
      </c>
      <c r="N69" s="3">
        <v>4</v>
      </c>
      <c r="O69" s="5">
        <f t="shared" si="2"/>
        <v>4.166666666666667</v>
      </c>
    </row>
    <row r="70" spans="2:15" ht="23.25" customHeight="1" thickBot="1" x14ac:dyDescent="0.4">
      <c r="B70" s="2">
        <v>67</v>
      </c>
      <c r="C70" s="3">
        <v>5</v>
      </c>
      <c r="D70" s="3">
        <v>3</v>
      </c>
      <c r="E70" s="3">
        <v>5</v>
      </c>
      <c r="F70" s="3">
        <v>5</v>
      </c>
      <c r="G70" s="3">
        <v>2</v>
      </c>
      <c r="H70" s="3">
        <v>3</v>
      </c>
      <c r="I70" s="3">
        <v>5</v>
      </c>
      <c r="J70" s="3">
        <v>4</v>
      </c>
      <c r="K70" s="3">
        <v>5</v>
      </c>
      <c r="L70" s="3">
        <v>3</v>
      </c>
      <c r="M70" s="4">
        <v>4</v>
      </c>
      <c r="N70" s="3">
        <v>5</v>
      </c>
      <c r="O70" s="5">
        <f t="shared" si="2"/>
        <v>4.083333333333333</v>
      </c>
    </row>
    <row r="71" spans="2:15" ht="23.25" customHeight="1" thickBot="1" x14ac:dyDescent="0.4">
      <c r="B71" s="2">
        <v>68</v>
      </c>
      <c r="C71" s="3">
        <v>5</v>
      </c>
      <c r="D71" s="3">
        <v>3</v>
      </c>
      <c r="E71" s="3">
        <v>4</v>
      </c>
      <c r="F71" s="3">
        <v>5</v>
      </c>
      <c r="G71" s="3">
        <v>4</v>
      </c>
      <c r="H71" s="3">
        <v>4</v>
      </c>
      <c r="I71" s="3">
        <v>5</v>
      </c>
      <c r="J71" s="3">
        <v>3</v>
      </c>
      <c r="K71" s="3">
        <v>4</v>
      </c>
      <c r="L71" s="3">
        <v>3</v>
      </c>
      <c r="M71" s="4">
        <v>4</v>
      </c>
      <c r="N71" s="3">
        <v>5</v>
      </c>
      <c r="O71" s="5">
        <f t="shared" si="2"/>
        <v>4.083333333333333</v>
      </c>
    </row>
    <row r="72" spans="2:15" ht="23.25" customHeight="1" thickBot="1" x14ac:dyDescent="0.4">
      <c r="B72" s="2" t="s">
        <v>14</v>
      </c>
      <c r="C72" s="3">
        <v>5</v>
      </c>
      <c r="D72" s="3">
        <v>3</v>
      </c>
      <c r="E72" s="3">
        <v>2</v>
      </c>
      <c r="F72" s="3">
        <v>5</v>
      </c>
      <c r="G72" s="3">
        <v>3</v>
      </c>
      <c r="H72" s="3">
        <v>1</v>
      </c>
      <c r="I72" s="3">
        <v>4</v>
      </c>
      <c r="J72" s="3">
        <v>3</v>
      </c>
      <c r="K72" s="3">
        <v>5</v>
      </c>
      <c r="L72" s="3">
        <v>2</v>
      </c>
      <c r="M72" s="4">
        <v>3</v>
      </c>
      <c r="N72" s="3">
        <v>5</v>
      </c>
      <c r="O72" s="5">
        <f t="shared" si="2"/>
        <v>3.4166666666666665</v>
      </c>
    </row>
    <row r="73" spans="2:15" ht="23.25" customHeight="1" thickBot="1" x14ac:dyDescent="0.4">
      <c r="B73" s="2">
        <v>69</v>
      </c>
      <c r="C73" s="3">
        <v>5</v>
      </c>
      <c r="D73" s="3">
        <v>3</v>
      </c>
      <c r="E73" s="3">
        <v>5</v>
      </c>
      <c r="F73" s="3">
        <v>5</v>
      </c>
      <c r="G73" s="3">
        <v>4</v>
      </c>
      <c r="H73" s="3">
        <v>3</v>
      </c>
      <c r="I73" s="3">
        <v>5</v>
      </c>
      <c r="J73" s="3">
        <v>3</v>
      </c>
      <c r="K73" s="3">
        <v>4</v>
      </c>
      <c r="L73" s="3">
        <v>4</v>
      </c>
      <c r="M73" s="4">
        <v>4</v>
      </c>
      <c r="N73" s="3">
        <v>4</v>
      </c>
      <c r="O73" s="5">
        <f t="shared" si="2"/>
        <v>4.083333333333333</v>
      </c>
    </row>
    <row r="74" spans="2:15" ht="23.25" customHeight="1" thickBot="1" x14ac:dyDescent="0.4">
      <c r="B74" s="2">
        <v>70</v>
      </c>
      <c r="C74" s="3">
        <v>5</v>
      </c>
      <c r="D74" s="3">
        <v>4</v>
      </c>
      <c r="E74" s="3">
        <v>1</v>
      </c>
      <c r="F74" s="3">
        <v>5</v>
      </c>
      <c r="G74" s="3">
        <v>2</v>
      </c>
      <c r="H74" s="3">
        <v>5</v>
      </c>
      <c r="I74" s="3">
        <v>5</v>
      </c>
      <c r="J74" s="3">
        <v>5</v>
      </c>
      <c r="K74" s="3">
        <v>5</v>
      </c>
      <c r="L74" s="3">
        <v>5</v>
      </c>
      <c r="M74" s="4">
        <v>4</v>
      </c>
      <c r="N74" s="3">
        <v>4</v>
      </c>
      <c r="O74" s="5">
        <f t="shared" si="2"/>
        <v>4.166666666666667</v>
      </c>
    </row>
    <row r="75" spans="2:15" ht="23.25" customHeight="1" thickBot="1" x14ac:dyDescent="0.4">
      <c r="B75" s="2">
        <v>71</v>
      </c>
      <c r="C75" s="3">
        <v>5</v>
      </c>
      <c r="D75" s="3">
        <v>3</v>
      </c>
      <c r="E75" s="3">
        <v>1</v>
      </c>
      <c r="F75" s="3">
        <v>5</v>
      </c>
      <c r="G75" s="3">
        <v>2</v>
      </c>
      <c r="H75" s="3">
        <v>4</v>
      </c>
      <c r="I75" s="3">
        <v>3</v>
      </c>
      <c r="J75" s="3">
        <v>3</v>
      </c>
      <c r="K75" s="3">
        <v>5</v>
      </c>
      <c r="L75" s="3">
        <v>1</v>
      </c>
      <c r="M75" s="4">
        <v>4</v>
      </c>
      <c r="N75" s="3">
        <v>5</v>
      </c>
      <c r="O75" s="5">
        <f t="shared" si="2"/>
        <v>3.4166666666666665</v>
      </c>
    </row>
    <row r="76" spans="2:15" ht="23.25" customHeight="1" thickBot="1" x14ac:dyDescent="0.4">
      <c r="B76" s="2">
        <v>72</v>
      </c>
      <c r="C76" s="3">
        <v>4</v>
      </c>
      <c r="D76" s="3">
        <v>3</v>
      </c>
      <c r="E76" s="3">
        <v>1</v>
      </c>
      <c r="F76" s="3">
        <v>3</v>
      </c>
      <c r="G76" s="3">
        <v>3</v>
      </c>
      <c r="H76" s="3">
        <v>3</v>
      </c>
      <c r="I76" s="3">
        <v>4</v>
      </c>
      <c r="J76" s="3">
        <v>4</v>
      </c>
      <c r="K76" s="3">
        <v>4</v>
      </c>
      <c r="L76" s="3">
        <v>2</v>
      </c>
      <c r="M76" s="4">
        <v>5</v>
      </c>
      <c r="N76" s="3">
        <v>4</v>
      </c>
      <c r="O76" s="5">
        <f t="shared" ref="O76:O124" si="3">AVERAGE(C76:N76)</f>
        <v>3.3333333333333335</v>
      </c>
    </row>
    <row r="77" spans="2:15" ht="23.25" customHeight="1" thickBot="1" x14ac:dyDescent="0.4">
      <c r="B77" s="2">
        <v>73</v>
      </c>
      <c r="C77" s="3">
        <v>5</v>
      </c>
      <c r="D77" s="3">
        <v>3</v>
      </c>
      <c r="E77" s="3">
        <v>4</v>
      </c>
      <c r="F77" s="3">
        <v>3</v>
      </c>
      <c r="G77" s="3">
        <v>3</v>
      </c>
      <c r="H77" s="3">
        <v>4</v>
      </c>
      <c r="I77" s="3">
        <v>5</v>
      </c>
      <c r="J77" s="3">
        <v>4</v>
      </c>
      <c r="K77" s="3">
        <v>5</v>
      </c>
      <c r="L77" s="3">
        <v>5</v>
      </c>
      <c r="M77" s="4">
        <v>4</v>
      </c>
      <c r="N77" s="3">
        <v>4</v>
      </c>
      <c r="O77" s="5">
        <f t="shared" si="3"/>
        <v>4.083333333333333</v>
      </c>
    </row>
    <row r="78" spans="2:15" ht="23.25" customHeight="1" thickBot="1" x14ac:dyDescent="0.4">
      <c r="B78" s="2">
        <v>74</v>
      </c>
      <c r="C78" s="3">
        <v>5</v>
      </c>
      <c r="D78" s="3">
        <v>4</v>
      </c>
      <c r="E78" s="3">
        <v>4</v>
      </c>
      <c r="F78" s="3">
        <v>4</v>
      </c>
      <c r="G78" s="3">
        <v>3</v>
      </c>
      <c r="H78" s="3">
        <v>4</v>
      </c>
      <c r="I78" s="3">
        <v>4</v>
      </c>
      <c r="J78" s="3">
        <v>4</v>
      </c>
      <c r="K78" s="3">
        <v>5</v>
      </c>
      <c r="L78" s="3">
        <v>4</v>
      </c>
      <c r="M78" s="4">
        <v>4</v>
      </c>
      <c r="N78" s="3">
        <v>5</v>
      </c>
      <c r="O78" s="5">
        <f t="shared" si="3"/>
        <v>4.166666666666667</v>
      </c>
    </row>
    <row r="79" spans="2:15" ht="23.25" customHeight="1" thickBot="1" x14ac:dyDescent="0.4">
      <c r="B79" s="2">
        <v>75</v>
      </c>
      <c r="C79" s="3">
        <v>5</v>
      </c>
      <c r="D79" s="3">
        <v>4</v>
      </c>
      <c r="E79" s="3">
        <v>5</v>
      </c>
      <c r="F79" s="3">
        <v>5</v>
      </c>
      <c r="G79" s="3">
        <v>2</v>
      </c>
      <c r="H79" s="3">
        <v>3</v>
      </c>
      <c r="I79" s="3">
        <v>4</v>
      </c>
      <c r="J79" s="3">
        <v>4</v>
      </c>
      <c r="K79" s="3">
        <v>5</v>
      </c>
      <c r="L79" s="3">
        <v>4</v>
      </c>
      <c r="M79" s="4">
        <v>4</v>
      </c>
      <c r="N79" s="3">
        <v>4</v>
      </c>
      <c r="O79" s="5">
        <f t="shared" si="3"/>
        <v>4.083333333333333</v>
      </c>
    </row>
    <row r="80" spans="2:15" ht="23.25" customHeight="1" thickBot="1" x14ac:dyDescent="0.4">
      <c r="B80" s="2">
        <v>76</v>
      </c>
      <c r="C80" s="3">
        <v>4</v>
      </c>
      <c r="D80" s="3">
        <v>4</v>
      </c>
      <c r="E80" s="3">
        <v>4</v>
      </c>
      <c r="F80" s="3">
        <v>5</v>
      </c>
      <c r="G80" s="3">
        <v>4</v>
      </c>
      <c r="H80" s="3">
        <v>3</v>
      </c>
      <c r="I80" s="3">
        <v>5</v>
      </c>
      <c r="J80" s="3">
        <v>4</v>
      </c>
      <c r="K80" s="3">
        <v>4</v>
      </c>
      <c r="L80" s="3">
        <v>4</v>
      </c>
      <c r="M80" s="4">
        <v>4</v>
      </c>
      <c r="N80" s="3">
        <v>5</v>
      </c>
      <c r="O80" s="5">
        <f t="shared" si="3"/>
        <v>4.166666666666667</v>
      </c>
    </row>
    <row r="81" spans="2:15" ht="23.25" customHeight="1" thickBot="1" x14ac:dyDescent="0.4">
      <c r="B81" s="2">
        <v>77</v>
      </c>
      <c r="C81" s="3">
        <v>5</v>
      </c>
      <c r="D81" s="3">
        <v>4</v>
      </c>
      <c r="E81" s="3">
        <v>3</v>
      </c>
      <c r="F81" s="3">
        <v>5</v>
      </c>
      <c r="G81" s="3">
        <v>2</v>
      </c>
      <c r="H81" s="3">
        <v>2</v>
      </c>
      <c r="I81" s="3">
        <v>4</v>
      </c>
      <c r="J81" s="3">
        <v>5</v>
      </c>
      <c r="K81" s="3">
        <v>5</v>
      </c>
      <c r="L81" s="3">
        <v>5</v>
      </c>
      <c r="M81" s="4">
        <v>4</v>
      </c>
      <c r="N81" s="3">
        <v>4</v>
      </c>
      <c r="O81" s="5">
        <f t="shared" si="3"/>
        <v>4</v>
      </c>
    </row>
    <row r="82" spans="2:15" ht="23.25" customHeight="1" thickBot="1" x14ac:dyDescent="0.4">
      <c r="B82" s="2">
        <v>78</v>
      </c>
      <c r="C82" s="3">
        <v>5</v>
      </c>
      <c r="D82" s="3">
        <v>4</v>
      </c>
      <c r="E82" s="3">
        <v>3</v>
      </c>
      <c r="F82" s="3">
        <v>5</v>
      </c>
      <c r="G82" s="3">
        <v>4</v>
      </c>
      <c r="H82" s="3">
        <v>4</v>
      </c>
      <c r="I82" s="3">
        <v>4</v>
      </c>
      <c r="J82" s="3">
        <v>4</v>
      </c>
      <c r="K82" s="3">
        <v>5</v>
      </c>
      <c r="L82" s="3">
        <v>4</v>
      </c>
      <c r="M82" s="4">
        <v>4</v>
      </c>
      <c r="N82" s="3">
        <v>4</v>
      </c>
      <c r="O82" s="5">
        <f t="shared" si="3"/>
        <v>4.166666666666667</v>
      </c>
    </row>
    <row r="83" spans="2:15" ht="23.25" customHeight="1" thickBot="1" x14ac:dyDescent="0.4">
      <c r="B83" s="2">
        <v>79</v>
      </c>
      <c r="C83" s="3">
        <v>5</v>
      </c>
      <c r="D83" s="3">
        <v>4</v>
      </c>
      <c r="E83" s="3">
        <v>3</v>
      </c>
      <c r="F83" s="3">
        <v>4</v>
      </c>
      <c r="G83" s="3">
        <v>2</v>
      </c>
      <c r="H83" s="3">
        <v>5</v>
      </c>
      <c r="I83" s="3">
        <v>5</v>
      </c>
      <c r="J83" s="3">
        <v>3</v>
      </c>
      <c r="K83" s="3">
        <v>5</v>
      </c>
      <c r="L83" s="3">
        <v>5</v>
      </c>
      <c r="M83" s="4">
        <v>3</v>
      </c>
      <c r="N83" s="3">
        <v>5</v>
      </c>
      <c r="O83" s="5">
        <f t="shared" si="3"/>
        <v>4.083333333333333</v>
      </c>
    </row>
    <row r="84" spans="2:15" ht="23.25" customHeight="1" thickBot="1" x14ac:dyDescent="0.4">
      <c r="B84" s="2">
        <v>80</v>
      </c>
      <c r="C84" s="3">
        <v>5</v>
      </c>
      <c r="D84" s="3">
        <v>4</v>
      </c>
      <c r="E84" s="3">
        <v>3</v>
      </c>
      <c r="F84" s="3">
        <v>4</v>
      </c>
      <c r="G84" s="3">
        <v>3</v>
      </c>
      <c r="H84" s="3">
        <v>3</v>
      </c>
      <c r="I84" s="3">
        <v>4</v>
      </c>
      <c r="J84" s="3">
        <v>4</v>
      </c>
      <c r="K84" s="3">
        <v>5</v>
      </c>
      <c r="L84" s="3">
        <v>5</v>
      </c>
      <c r="M84" s="4">
        <v>4</v>
      </c>
      <c r="N84" s="3">
        <v>4</v>
      </c>
      <c r="O84" s="5">
        <f t="shared" si="3"/>
        <v>4</v>
      </c>
    </row>
    <row r="85" spans="2:15" ht="23.25" customHeight="1" thickBot="1" x14ac:dyDescent="0.4">
      <c r="B85" s="2">
        <v>81</v>
      </c>
      <c r="C85" s="3">
        <v>5</v>
      </c>
      <c r="D85" s="3">
        <v>3</v>
      </c>
      <c r="E85" s="3">
        <v>5</v>
      </c>
      <c r="F85" s="3">
        <v>5</v>
      </c>
      <c r="G85" s="3">
        <v>5</v>
      </c>
      <c r="H85" s="3">
        <v>4</v>
      </c>
      <c r="I85" s="3">
        <v>5</v>
      </c>
      <c r="J85" s="3">
        <v>4</v>
      </c>
      <c r="K85" s="3">
        <v>4</v>
      </c>
      <c r="L85" s="3">
        <v>5</v>
      </c>
      <c r="M85" s="4">
        <v>4</v>
      </c>
      <c r="N85" s="3">
        <v>3</v>
      </c>
      <c r="O85" s="5">
        <f t="shared" si="3"/>
        <v>4.333333333333333</v>
      </c>
    </row>
    <row r="86" spans="2:15" ht="23.25" customHeight="1" thickBot="1" x14ac:dyDescent="0.4">
      <c r="B86" s="2">
        <v>82</v>
      </c>
      <c r="C86" s="3">
        <v>5</v>
      </c>
      <c r="D86" s="3">
        <v>3</v>
      </c>
      <c r="E86" s="3">
        <v>4</v>
      </c>
      <c r="F86" s="3">
        <v>5</v>
      </c>
      <c r="G86" s="3">
        <v>5</v>
      </c>
      <c r="H86" s="3">
        <v>2</v>
      </c>
      <c r="I86" s="3">
        <v>3</v>
      </c>
      <c r="J86" s="3">
        <v>5</v>
      </c>
      <c r="K86" s="3">
        <v>5</v>
      </c>
      <c r="L86" s="3">
        <v>5</v>
      </c>
      <c r="M86" s="4">
        <v>4</v>
      </c>
      <c r="N86" s="3">
        <v>4</v>
      </c>
      <c r="O86" s="5">
        <f t="shared" si="3"/>
        <v>4.166666666666667</v>
      </c>
    </row>
    <row r="87" spans="2:15" ht="23.25" customHeight="1" thickBot="1" x14ac:dyDescent="0.4">
      <c r="B87" s="2">
        <v>83</v>
      </c>
      <c r="C87" s="3">
        <v>5</v>
      </c>
      <c r="D87" s="3">
        <v>4</v>
      </c>
      <c r="E87" s="3">
        <v>3</v>
      </c>
      <c r="F87" s="3">
        <v>5</v>
      </c>
      <c r="G87" s="3">
        <v>5</v>
      </c>
      <c r="H87" s="3">
        <v>3</v>
      </c>
      <c r="I87" s="3">
        <v>4</v>
      </c>
      <c r="J87" s="3">
        <v>4</v>
      </c>
      <c r="K87" s="3">
        <v>4</v>
      </c>
      <c r="L87" s="3">
        <v>4</v>
      </c>
      <c r="M87" s="4">
        <v>4</v>
      </c>
      <c r="N87" s="3">
        <v>4</v>
      </c>
      <c r="O87" s="5">
        <f t="shared" si="3"/>
        <v>4.083333333333333</v>
      </c>
    </row>
    <row r="88" spans="2:15" ht="23.25" customHeight="1" thickBot="1" x14ac:dyDescent="0.4">
      <c r="B88" s="2">
        <v>84</v>
      </c>
      <c r="C88" s="3">
        <v>5</v>
      </c>
      <c r="D88" s="3">
        <v>3</v>
      </c>
      <c r="E88" s="3">
        <v>4</v>
      </c>
      <c r="F88" s="3">
        <v>4</v>
      </c>
      <c r="G88" s="3">
        <v>5</v>
      </c>
      <c r="H88" s="3">
        <v>4</v>
      </c>
      <c r="I88" s="3">
        <v>5</v>
      </c>
      <c r="J88" s="3">
        <v>5</v>
      </c>
      <c r="K88" s="3">
        <v>4</v>
      </c>
      <c r="L88" s="3">
        <v>4</v>
      </c>
      <c r="M88" s="4">
        <v>3</v>
      </c>
      <c r="N88" s="3">
        <v>5</v>
      </c>
      <c r="O88" s="5">
        <f t="shared" si="3"/>
        <v>4.25</v>
      </c>
    </row>
    <row r="89" spans="2:15" ht="23.25" customHeight="1" thickBot="1" x14ac:dyDescent="0.4">
      <c r="B89" s="2">
        <v>85</v>
      </c>
      <c r="C89" s="3">
        <v>5</v>
      </c>
      <c r="D89" s="3">
        <v>2</v>
      </c>
      <c r="E89" s="3">
        <v>5</v>
      </c>
      <c r="F89" s="3">
        <v>4</v>
      </c>
      <c r="G89" s="3">
        <v>5</v>
      </c>
      <c r="H89" s="3">
        <v>2</v>
      </c>
      <c r="I89" s="3">
        <v>4</v>
      </c>
      <c r="J89" s="3">
        <v>5</v>
      </c>
      <c r="K89" s="3">
        <v>4</v>
      </c>
      <c r="L89" s="3">
        <v>5</v>
      </c>
      <c r="M89" s="4">
        <v>5</v>
      </c>
      <c r="N89" s="3">
        <v>4</v>
      </c>
      <c r="O89" s="5">
        <f t="shared" si="3"/>
        <v>4.166666666666667</v>
      </c>
    </row>
    <row r="90" spans="2:15" ht="23.25" customHeight="1" thickBot="1" x14ac:dyDescent="0.4">
      <c r="B90" s="2">
        <v>86</v>
      </c>
      <c r="C90" s="3">
        <v>5</v>
      </c>
      <c r="D90" s="3">
        <v>3</v>
      </c>
      <c r="E90" s="3">
        <v>4</v>
      </c>
      <c r="F90" s="3">
        <v>4</v>
      </c>
      <c r="G90" s="3">
        <v>4</v>
      </c>
      <c r="H90" s="3">
        <v>4</v>
      </c>
      <c r="I90" s="3">
        <v>5</v>
      </c>
      <c r="J90" s="3">
        <v>4</v>
      </c>
      <c r="K90" s="3">
        <v>5</v>
      </c>
      <c r="L90" s="3">
        <v>5</v>
      </c>
      <c r="M90" s="4">
        <v>3</v>
      </c>
      <c r="N90" s="3">
        <v>4</v>
      </c>
      <c r="O90" s="5">
        <f t="shared" si="3"/>
        <v>4.166666666666667</v>
      </c>
    </row>
    <row r="91" spans="2:15" ht="23.25" customHeight="1" thickBot="1" x14ac:dyDescent="0.4">
      <c r="B91" s="2">
        <v>87</v>
      </c>
      <c r="C91" s="3">
        <v>5</v>
      </c>
      <c r="D91" s="3">
        <v>3</v>
      </c>
      <c r="E91" s="3">
        <v>5</v>
      </c>
      <c r="F91" s="3">
        <v>4</v>
      </c>
      <c r="G91" s="3">
        <v>4</v>
      </c>
      <c r="H91" s="3">
        <v>3</v>
      </c>
      <c r="I91" s="3">
        <v>4</v>
      </c>
      <c r="J91" s="3">
        <v>4</v>
      </c>
      <c r="K91" s="3">
        <v>5</v>
      </c>
      <c r="L91" s="3">
        <v>3</v>
      </c>
      <c r="M91" s="4">
        <v>4</v>
      </c>
      <c r="N91" s="3">
        <v>5</v>
      </c>
      <c r="O91" s="5">
        <f t="shared" si="3"/>
        <v>4.083333333333333</v>
      </c>
    </row>
    <row r="92" spans="2:15" ht="23.25" customHeight="1" thickBot="1" x14ac:dyDescent="0.4">
      <c r="B92" s="2">
        <v>88</v>
      </c>
      <c r="C92" s="3">
        <v>5</v>
      </c>
      <c r="D92" s="3">
        <v>2</v>
      </c>
      <c r="E92" s="3">
        <v>4</v>
      </c>
      <c r="F92" s="3">
        <v>5</v>
      </c>
      <c r="G92" s="3">
        <v>4</v>
      </c>
      <c r="H92" s="3">
        <v>5</v>
      </c>
      <c r="I92" s="3">
        <v>4</v>
      </c>
      <c r="J92" s="3">
        <v>5</v>
      </c>
      <c r="K92" s="3">
        <v>5</v>
      </c>
      <c r="L92" s="3">
        <v>5</v>
      </c>
      <c r="M92" s="4">
        <v>5</v>
      </c>
      <c r="N92" s="3">
        <v>3</v>
      </c>
      <c r="O92" s="5">
        <f t="shared" si="3"/>
        <v>4.333333333333333</v>
      </c>
    </row>
    <row r="93" spans="2:15" ht="23.25" customHeight="1" thickBot="1" x14ac:dyDescent="0.4">
      <c r="B93" s="2">
        <v>89</v>
      </c>
      <c r="C93" s="3">
        <v>5</v>
      </c>
      <c r="D93" s="3">
        <v>3</v>
      </c>
      <c r="E93" s="3">
        <v>5</v>
      </c>
      <c r="F93" s="3">
        <v>5</v>
      </c>
      <c r="G93" s="3">
        <v>5</v>
      </c>
      <c r="H93" s="3">
        <v>4</v>
      </c>
      <c r="I93" s="3">
        <v>3</v>
      </c>
      <c r="J93" s="3">
        <v>4</v>
      </c>
      <c r="K93" s="3">
        <v>4</v>
      </c>
      <c r="L93" s="3">
        <v>2</v>
      </c>
      <c r="M93" s="4">
        <v>4</v>
      </c>
      <c r="N93" s="3">
        <v>4</v>
      </c>
      <c r="O93" s="5">
        <f t="shared" si="3"/>
        <v>4</v>
      </c>
    </row>
    <row r="94" spans="2:15" ht="23.25" customHeight="1" thickBot="1" x14ac:dyDescent="0.4">
      <c r="B94" s="2">
        <v>90</v>
      </c>
      <c r="C94" s="3">
        <v>5</v>
      </c>
      <c r="D94" s="3">
        <v>3</v>
      </c>
      <c r="E94" s="3">
        <v>5</v>
      </c>
      <c r="F94" s="3">
        <v>5</v>
      </c>
      <c r="G94" s="3">
        <v>5</v>
      </c>
      <c r="H94" s="3">
        <v>3</v>
      </c>
      <c r="I94" s="3">
        <v>3</v>
      </c>
      <c r="J94" s="3">
        <v>4</v>
      </c>
      <c r="K94" s="3">
        <v>5</v>
      </c>
      <c r="L94" s="3">
        <v>3</v>
      </c>
      <c r="M94" s="4">
        <v>4</v>
      </c>
      <c r="N94" s="3">
        <v>5</v>
      </c>
      <c r="O94" s="5">
        <f t="shared" si="3"/>
        <v>4.166666666666667</v>
      </c>
    </row>
    <row r="95" spans="2:15" ht="23.25" customHeight="1" thickBot="1" x14ac:dyDescent="0.4">
      <c r="B95" s="2">
        <v>91</v>
      </c>
      <c r="C95" s="3">
        <v>5</v>
      </c>
      <c r="D95" s="3">
        <v>4</v>
      </c>
      <c r="E95" s="3">
        <v>3</v>
      </c>
      <c r="F95" s="3">
        <v>5</v>
      </c>
      <c r="G95" s="3">
        <v>4</v>
      </c>
      <c r="H95" s="3">
        <v>4</v>
      </c>
      <c r="I95" s="3">
        <v>5</v>
      </c>
      <c r="J95" s="3">
        <v>4</v>
      </c>
      <c r="K95" s="3">
        <v>4</v>
      </c>
      <c r="L95" s="3">
        <v>4</v>
      </c>
      <c r="M95" s="4">
        <v>3</v>
      </c>
      <c r="N95" s="3">
        <v>5</v>
      </c>
      <c r="O95" s="5">
        <f t="shared" si="3"/>
        <v>4.166666666666667</v>
      </c>
    </row>
    <row r="96" spans="2:15" ht="23.25" customHeight="1" thickBot="1" x14ac:dyDescent="0.4">
      <c r="B96" s="2">
        <v>92</v>
      </c>
      <c r="C96" s="3">
        <v>5</v>
      </c>
      <c r="D96" s="3">
        <v>4</v>
      </c>
      <c r="E96" s="3">
        <v>4</v>
      </c>
      <c r="F96" s="3">
        <v>4</v>
      </c>
      <c r="G96" s="3">
        <v>5</v>
      </c>
      <c r="H96" s="3">
        <v>2</v>
      </c>
      <c r="I96" s="3">
        <v>5</v>
      </c>
      <c r="J96" s="3">
        <v>5</v>
      </c>
      <c r="K96" s="3">
        <v>4</v>
      </c>
      <c r="L96" s="3">
        <v>5</v>
      </c>
      <c r="M96" s="4">
        <v>5</v>
      </c>
      <c r="N96" s="3">
        <v>5</v>
      </c>
      <c r="O96" s="5">
        <f t="shared" si="3"/>
        <v>4.416666666666667</v>
      </c>
    </row>
    <row r="97" spans="2:15" ht="23.25" customHeight="1" thickBot="1" x14ac:dyDescent="0.4">
      <c r="B97" s="2">
        <v>93</v>
      </c>
      <c r="C97" s="3">
        <v>5</v>
      </c>
      <c r="D97" s="3">
        <v>2</v>
      </c>
      <c r="E97" s="3">
        <v>2</v>
      </c>
      <c r="F97" s="3">
        <v>2</v>
      </c>
      <c r="G97" s="3">
        <v>5</v>
      </c>
      <c r="H97" s="3">
        <v>3</v>
      </c>
      <c r="I97" s="3">
        <v>5</v>
      </c>
      <c r="J97" s="3">
        <v>5</v>
      </c>
      <c r="K97" s="3">
        <v>5</v>
      </c>
      <c r="L97" s="3">
        <v>5</v>
      </c>
      <c r="M97" s="4">
        <v>5</v>
      </c>
      <c r="N97" s="3">
        <v>4</v>
      </c>
      <c r="O97" s="5">
        <f t="shared" si="3"/>
        <v>4</v>
      </c>
    </row>
    <row r="98" spans="2:15" ht="23.25" customHeight="1" thickBot="1" x14ac:dyDescent="0.4">
      <c r="B98" s="2">
        <v>94</v>
      </c>
      <c r="C98" s="3">
        <v>5</v>
      </c>
      <c r="D98" s="3">
        <v>3</v>
      </c>
      <c r="E98" s="3">
        <v>4</v>
      </c>
      <c r="F98" s="3">
        <v>5</v>
      </c>
      <c r="G98" s="3">
        <v>5</v>
      </c>
      <c r="H98" s="3">
        <v>3</v>
      </c>
      <c r="I98" s="3">
        <v>4</v>
      </c>
      <c r="J98" s="3">
        <v>3</v>
      </c>
      <c r="K98" s="3">
        <v>5</v>
      </c>
      <c r="L98" s="3">
        <v>4</v>
      </c>
      <c r="M98" s="4">
        <v>3</v>
      </c>
      <c r="N98" s="3">
        <v>5</v>
      </c>
      <c r="O98" s="5">
        <f t="shared" si="3"/>
        <v>4.083333333333333</v>
      </c>
    </row>
    <row r="99" spans="2:15" ht="23.25" customHeight="1" thickBot="1" x14ac:dyDescent="0.4">
      <c r="B99" s="2">
        <v>95</v>
      </c>
      <c r="C99" s="3">
        <v>5</v>
      </c>
      <c r="D99" s="3">
        <v>4</v>
      </c>
      <c r="E99" s="3">
        <v>1</v>
      </c>
      <c r="F99" s="3">
        <v>5</v>
      </c>
      <c r="G99" s="3">
        <v>5</v>
      </c>
      <c r="H99" s="3">
        <v>4</v>
      </c>
      <c r="I99" s="3">
        <v>4</v>
      </c>
      <c r="J99" s="3">
        <v>4</v>
      </c>
      <c r="K99" s="3">
        <v>5</v>
      </c>
      <c r="L99" s="3">
        <v>5</v>
      </c>
      <c r="M99" s="4">
        <v>4</v>
      </c>
      <c r="N99" s="3">
        <v>5</v>
      </c>
      <c r="O99" s="5">
        <f t="shared" si="3"/>
        <v>4.25</v>
      </c>
    </row>
    <row r="100" spans="2:15" ht="23.25" customHeight="1" thickBot="1" x14ac:dyDescent="0.4">
      <c r="B100" s="2">
        <v>96</v>
      </c>
      <c r="C100" s="3">
        <v>5</v>
      </c>
      <c r="D100" s="3">
        <v>4</v>
      </c>
      <c r="E100" s="3">
        <v>4</v>
      </c>
      <c r="F100" s="3">
        <v>3</v>
      </c>
      <c r="G100" s="3">
        <v>5</v>
      </c>
      <c r="H100" s="3">
        <v>4</v>
      </c>
      <c r="I100" s="3">
        <v>3</v>
      </c>
      <c r="J100" s="3">
        <v>4</v>
      </c>
      <c r="K100" s="3">
        <v>5</v>
      </c>
      <c r="L100" s="3">
        <v>5</v>
      </c>
      <c r="M100" s="4">
        <v>4</v>
      </c>
      <c r="N100" s="3">
        <v>4</v>
      </c>
      <c r="O100" s="5">
        <f t="shared" si="3"/>
        <v>4.166666666666667</v>
      </c>
    </row>
    <row r="101" spans="2:15" ht="23.25" customHeight="1" thickBot="1" x14ac:dyDescent="0.4">
      <c r="B101" s="2">
        <v>97</v>
      </c>
      <c r="C101" s="3">
        <v>5</v>
      </c>
      <c r="D101" s="3">
        <v>5</v>
      </c>
      <c r="E101" s="3">
        <v>3</v>
      </c>
      <c r="F101" s="3">
        <v>5</v>
      </c>
      <c r="G101" s="3">
        <v>5</v>
      </c>
      <c r="H101" s="3">
        <v>4</v>
      </c>
      <c r="I101" s="3">
        <v>3</v>
      </c>
      <c r="J101" s="3">
        <v>4</v>
      </c>
      <c r="K101" s="3">
        <v>5</v>
      </c>
      <c r="L101" s="3">
        <v>3</v>
      </c>
      <c r="M101" s="4">
        <v>3</v>
      </c>
      <c r="N101" s="3">
        <v>5</v>
      </c>
      <c r="O101" s="5">
        <f t="shared" si="3"/>
        <v>4.166666666666667</v>
      </c>
    </row>
    <row r="102" spans="2:15" ht="23.25" customHeight="1" thickBot="1" x14ac:dyDescent="0.4">
      <c r="B102" s="2">
        <v>98</v>
      </c>
      <c r="C102" s="3">
        <v>5</v>
      </c>
      <c r="D102" s="3">
        <v>3</v>
      </c>
      <c r="E102" s="3">
        <v>5</v>
      </c>
      <c r="F102" s="3">
        <v>5</v>
      </c>
      <c r="G102" s="3">
        <v>5</v>
      </c>
      <c r="H102" s="3">
        <v>2</v>
      </c>
      <c r="I102" s="3">
        <v>4</v>
      </c>
      <c r="J102" s="3">
        <v>5</v>
      </c>
      <c r="K102" s="3">
        <v>5</v>
      </c>
      <c r="L102" s="3">
        <v>4</v>
      </c>
      <c r="M102" s="4">
        <v>4</v>
      </c>
      <c r="N102" s="3">
        <v>5</v>
      </c>
      <c r="O102" s="5">
        <f t="shared" si="3"/>
        <v>4.333333333333333</v>
      </c>
    </row>
    <row r="103" spans="2:15" ht="23.25" customHeight="1" thickBot="1" x14ac:dyDescent="0.4">
      <c r="B103" s="2">
        <v>99</v>
      </c>
      <c r="C103" s="3">
        <v>5</v>
      </c>
      <c r="D103" s="3">
        <v>3</v>
      </c>
      <c r="E103" s="3">
        <v>4</v>
      </c>
      <c r="F103" s="3">
        <v>4</v>
      </c>
      <c r="G103" s="3">
        <v>4</v>
      </c>
      <c r="H103" s="3">
        <v>4</v>
      </c>
      <c r="I103" s="3">
        <v>5</v>
      </c>
      <c r="J103" s="3">
        <v>4</v>
      </c>
      <c r="K103" s="3">
        <v>4</v>
      </c>
      <c r="L103" s="3">
        <v>4</v>
      </c>
      <c r="M103" s="4">
        <v>3</v>
      </c>
      <c r="N103" s="3">
        <v>5</v>
      </c>
      <c r="O103" s="5">
        <f t="shared" si="3"/>
        <v>4.083333333333333</v>
      </c>
    </row>
    <row r="104" spans="2:15" ht="23.25" customHeight="1" thickBot="1" x14ac:dyDescent="0.4">
      <c r="B104" s="2">
        <v>100</v>
      </c>
      <c r="C104" s="3">
        <v>5</v>
      </c>
      <c r="D104" s="3">
        <v>3</v>
      </c>
      <c r="E104" s="3">
        <v>5</v>
      </c>
      <c r="F104" s="3">
        <v>4</v>
      </c>
      <c r="G104" s="3">
        <v>4</v>
      </c>
      <c r="H104" s="3">
        <v>4</v>
      </c>
      <c r="I104" s="3">
        <v>5</v>
      </c>
      <c r="J104" s="3">
        <v>5</v>
      </c>
      <c r="K104" s="3">
        <v>4</v>
      </c>
      <c r="L104" s="3">
        <v>4</v>
      </c>
      <c r="M104" s="4">
        <v>4</v>
      </c>
      <c r="N104" s="3">
        <v>4</v>
      </c>
      <c r="O104" s="5">
        <f t="shared" si="3"/>
        <v>4.25</v>
      </c>
    </row>
    <row r="105" spans="2:15" ht="23.25" customHeight="1" thickBot="1" x14ac:dyDescent="0.4">
      <c r="B105" s="2">
        <v>101</v>
      </c>
      <c r="C105" s="3">
        <v>4</v>
      </c>
      <c r="D105" s="3">
        <v>3</v>
      </c>
      <c r="E105" s="3">
        <v>4</v>
      </c>
      <c r="F105" s="3">
        <v>4</v>
      </c>
      <c r="G105" s="3">
        <v>4</v>
      </c>
      <c r="H105" s="3">
        <v>4</v>
      </c>
      <c r="I105" s="3">
        <v>5</v>
      </c>
      <c r="J105" s="3">
        <v>4</v>
      </c>
      <c r="K105" s="3">
        <v>5</v>
      </c>
      <c r="L105" s="3">
        <v>4</v>
      </c>
      <c r="M105" s="4">
        <v>4</v>
      </c>
      <c r="N105" s="3">
        <v>5</v>
      </c>
      <c r="O105" s="5">
        <f t="shared" si="3"/>
        <v>4.166666666666667</v>
      </c>
    </row>
    <row r="106" spans="2:15" ht="23.25" customHeight="1" thickBot="1" x14ac:dyDescent="0.4">
      <c r="B106" s="2">
        <v>102</v>
      </c>
      <c r="C106" s="3">
        <v>5</v>
      </c>
      <c r="D106" s="3">
        <v>3</v>
      </c>
      <c r="E106" s="3">
        <v>2</v>
      </c>
      <c r="F106" s="3">
        <v>5</v>
      </c>
      <c r="G106" s="3">
        <v>5</v>
      </c>
      <c r="H106" s="3">
        <v>4</v>
      </c>
      <c r="I106" s="3">
        <v>5</v>
      </c>
      <c r="J106" s="3">
        <v>4</v>
      </c>
      <c r="K106" s="3">
        <v>5</v>
      </c>
      <c r="L106" s="3">
        <v>5</v>
      </c>
      <c r="M106" s="4">
        <v>4</v>
      </c>
      <c r="N106" s="3">
        <v>4</v>
      </c>
      <c r="O106" s="5">
        <f t="shared" si="3"/>
        <v>4.25</v>
      </c>
    </row>
    <row r="107" spans="2:15" ht="23.25" customHeight="1" thickBot="1" x14ac:dyDescent="0.4">
      <c r="B107" s="2">
        <v>103</v>
      </c>
      <c r="C107" s="3">
        <v>5</v>
      </c>
      <c r="D107" s="3">
        <v>3</v>
      </c>
      <c r="E107" s="3">
        <v>5</v>
      </c>
      <c r="F107" s="3">
        <v>5</v>
      </c>
      <c r="G107" s="3">
        <v>4</v>
      </c>
      <c r="H107" s="3">
        <v>3</v>
      </c>
      <c r="I107" s="3">
        <v>4</v>
      </c>
      <c r="J107" s="3">
        <v>4</v>
      </c>
      <c r="K107" s="3">
        <v>4</v>
      </c>
      <c r="L107" s="3">
        <v>4</v>
      </c>
      <c r="M107" s="4">
        <v>4</v>
      </c>
      <c r="N107" s="3">
        <v>4</v>
      </c>
      <c r="O107" s="5">
        <f t="shared" si="3"/>
        <v>4.083333333333333</v>
      </c>
    </row>
    <row r="108" spans="2:15" ht="23.25" customHeight="1" thickBot="1" x14ac:dyDescent="0.4">
      <c r="B108" s="2">
        <v>104</v>
      </c>
      <c r="C108" s="3">
        <v>5</v>
      </c>
      <c r="D108" s="3">
        <v>4</v>
      </c>
      <c r="E108" s="3">
        <v>1</v>
      </c>
      <c r="F108" s="3">
        <v>5</v>
      </c>
      <c r="G108" s="3">
        <v>5</v>
      </c>
      <c r="H108" s="3">
        <v>3</v>
      </c>
      <c r="I108" s="3">
        <v>4</v>
      </c>
      <c r="J108" s="3">
        <v>5</v>
      </c>
      <c r="K108" s="3">
        <v>5</v>
      </c>
      <c r="L108" s="3">
        <v>5</v>
      </c>
      <c r="M108" s="4">
        <v>5</v>
      </c>
      <c r="N108" s="3">
        <v>4</v>
      </c>
      <c r="O108" s="5">
        <f t="shared" si="3"/>
        <v>4.25</v>
      </c>
    </row>
    <row r="109" spans="2:15" ht="23.25" customHeight="1" thickBot="1" x14ac:dyDescent="0.4">
      <c r="B109" s="2">
        <v>105</v>
      </c>
      <c r="C109" s="3">
        <v>5</v>
      </c>
      <c r="D109" s="3">
        <v>3</v>
      </c>
      <c r="E109" s="3">
        <v>4</v>
      </c>
      <c r="F109" s="3">
        <v>5</v>
      </c>
      <c r="G109" s="3">
        <v>4</v>
      </c>
      <c r="H109" s="3">
        <v>3</v>
      </c>
      <c r="I109" s="3">
        <v>5</v>
      </c>
      <c r="J109" s="3">
        <v>4</v>
      </c>
      <c r="K109" s="3">
        <v>4</v>
      </c>
      <c r="L109" s="3">
        <v>5</v>
      </c>
      <c r="M109" s="4">
        <v>3</v>
      </c>
      <c r="N109" s="3">
        <v>4</v>
      </c>
      <c r="O109" s="5">
        <f t="shared" si="3"/>
        <v>4.083333333333333</v>
      </c>
    </row>
    <row r="110" spans="2:15" ht="23.25" customHeight="1" thickBot="1" x14ac:dyDescent="0.4">
      <c r="B110" s="2">
        <v>106</v>
      </c>
      <c r="C110" s="3">
        <v>5</v>
      </c>
      <c r="D110" s="3">
        <v>2</v>
      </c>
      <c r="E110" s="3">
        <v>4</v>
      </c>
      <c r="F110" s="3">
        <v>5</v>
      </c>
      <c r="G110" s="3">
        <v>5</v>
      </c>
      <c r="H110" s="3">
        <v>4</v>
      </c>
      <c r="I110" s="3">
        <v>4</v>
      </c>
      <c r="J110" s="3">
        <v>5</v>
      </c>
      <c r="K110" s="3">
        <v>5</v>
      </c>
      <c r="L110" s="3">
        <v>4</v>
      </c>
      <c r="M110" s="4">
        <v>4</v>
      </c>
      <c r="N110" s="3">
        <v>4</v>
      </c>
      <c r="O110" s="5">
        <f t="shared" si="3"/>
        <v>4.25</v>
      </c>
    </row>
    <row r="111" spans="2:15" ht="23.25" customHeight="1" thickBot="1" x14ac:dyDescent="0.4">
      <c r="B111" s="2">
        <v>107</v>
      </c>
      <c r="C111" s="3">
        <v>4</v>
      </c>
      <c r="D111" s="3">
        <v>3</v>
      </c>
      <c r="E111" s="3">
        <v>4</v>
      </c>
      <c r="F111" s="3">
        <v>3</v>
      </c>
      <c r="G111" s="3">
        <v>5</v>
      </c>
      <c r="H111" s="3">
        <v>5</v>
      </c>
      <c r="I111" s="3">
        <v>4</v>
      </c>
      <c r="J111" s="3">
        <v>5</v>
      </c>
      <c r="K111" s="3">
        <v>5</v>
      </c>
      <c r="L111" s="3">
        <v>5</v>
      </c>
      <c r="M111" s="4">
        <v>4</v>
      </c>
      <c r="N111" s="3">
        <v>4</v>
      </c>
      <c r="O111" s="5">
        <f t="shared" si="3"/>
        <v>4.25</v>
      </c>
    </row>
    <row r="112" spans="2:15" ht="23.25" customHeight="1" thickBot="1" x14ac:dyDescent="0.4">
      <c r="B112" s="2">
        <v>108</v>
      </c>
      <c r="C112" s="3">
        <v>5</v>
      </c>
      <c r="D112" s="3">
        <v>3</v>
      </c>
      <c r="E112" s="3">
        <v>3</v>
      </c>
      <c r="F112" s="3">
        <v>5</v>
      </c>
      <c r="G112" s="3">
        <v>5</v>
      </c>
      <c r="H112" s="3">
        <v>4</v>
      </c>
      <c r="I112" s="3">
        <v>4</v>
      </c>
      <c r="J112" s="3">
        <v>5</v>
      </c>
      <c r="K112" s="3">
        <v>4</v>
      </c>
      <c r="L112" s="3">
        <v>5</v>
      </c>
      <c r="M112" s="4">
        <v>4</v>
      </c>
      <c r="N112" s="3">
        <v>5</v>
      </c>
      <c r="O112" s="5">
        <f t="shared" si="3"/>
        <v>4.333333333333333</v>
      </c>
    </row>
    <row r="113" spans="2:15" ht="23.25" customHeight="1" thickBot="1" x14ac:dyDescent="0.4">
      <c r="B113" s="2">
        <v>109</v>
      </c>
      <c r="C113" s="3">
        <v>4</v>
      </c>
      <c r="D113" s="3">
        <v>4</v>
      </c>
      <c r="E113" s="3">
        <v>5</v>
      </c>
      <c r="F113" s="3">
        <v>5</v>
      </c>
      <c r="G113" s="3">
        <v>5</v>
      </c>
      <c r="H113" s="3">
        <v>5</v>
      </c>
      <c r="I113" s="3">
        <v>4</v>
      </c>
      <c r="J113" s="3">
        <v>3</v>
      </c>
      <c r="K113" s="3">
        <v>5</v>
      </c>
      <c r="L113" s="3">
        <v>4</v>
      </c>
      <c r="M113" s="4">
        <v>3</v>
      </c>
      <c r="N113" s="3">
        <v>3</v>
      </c>
      <c r="O113" s="5">
        <f t="shared" si="3"/>
        <v>4.166666666666667</v>
      </c>
    </row>
    <row r="114" spans="2:15" ht="23.25" customHeight="1" thickBot="1" x14ac:dyDescent="0.4">
      <c r="B114" s="2">
        <v>110</v>
      </c>
      <c r="C114" s="3">
        <v>5</v>
      </c>
      <c r="D114" s="3">
        <v>1</v>
      </c>
      <c r="E114" s="3">
        <v>5</v>
      </c>
      <c r="F114" s="3">
        <v>5</v>
      </c>
      <c r="G114" s="3">
        <v>4</v>
      </c>
      <c r="H114" s="3">
        <v>4</v>
      </c>
      <c r="I114" s="3">
        <v>4</v>
      </c>
      <c r="J114" s="3">
        <v>4</v>
      </c>
      <c r="K114" s="3">
        <v>4</v>
      </c>
      <c r="L114" s="3">
        <v>5</v>
      </c>
      <c r="M114" s="4">
        <v>4</v>
      </c>
      <c r="N114" s="3">
        <v>4</v>
      </c>
      <c r="O114" s="5">
        <f t="shared" si="3"/>
        <v>4.083333333333333</v>
      </c>
    </row>
    <row r="115" spans="2:15" ht="23.25" customHeight="1" thickBot="1" x14ac:dyDescent="0.4">
      <c r="B115" s="2">
        <v>111</v>
      </c>
      <c r="C115" s="3">
        <v>5</v>
      </c>
      <c r="D115" s="3">
        <v>4</v>
      </c>
      <c r="E115" s="3">
        <v>3</v>
      </c>
      <c r="F115" s="3">
        <v>5</v>
      </c>
      <c r="G115" s="3">
        <v>4</v>
      </c>
      <c r="H115" s="3">
        <v>3</v>
      </c>
      <c r="I115" s="3">
        <v>4</v>
      </c>
      <c r="J115" s="3">
        <v>4</v>
      </c>
      <c r="K115" s="3">
        <v>4</v>
      </c>
      <c r="L115" s="3">
        <v>4</v>
      </c>
      <c r="M115" s="4">
        <v>5</v>
      </c>
      <c r="N115" s="3">
        <v>4</v>
      </c>
      <c r="O115" s="5">
        <f t="shared" si="3"/>
        <v>4.083333333333333</v>
      </c>
    </row>
    <row r="116" spans="2:15" ht="23.25" customHeight="1" thickBot="1" x14ac:dyDescent="0.4">
      <c r="B116" s="2">
        <v>112</v>
      </c>
      <c r="C116" s="3">
        <v>4</v>
      </c>
      <c r="D116" s="3">
        <v>2</v>
      </c>
      <c r="E116" s="3">
        <v>2</v>
      </c>
      <c r="F116" s="3">
        <v>5</v>
      </c>
      <c r="G116" s="3">
        <v>5</v>
      </c>
      <c r="H116" s="3">
        <v>4</v>
      </c>
      <c r="I116" s="3">
        <v>5</v>
      </c>
      <c r="J116" s="3">
        <v>4</v>
      </c>
      <c r="K116" s="3">
        <v>5</v>
      </c>
      <c r="L116" s="3">
        <v>5</v>
      </c>
      <c r="M116" s="4">
        <v>5</v>
      </c>
      <c r="N116" s="3">
        <v>4</v>
      </c>
      <c r="O116" s="5">
        <f t="shared" si="3"/>
        <v>4.166666666666667</v>
      </c>
    </row>
    <row r="117" spans="2:15" ht="23.25" customHeight="1" thickBot="1" x14ac:dyDescent="0.4">
      <c r="B117" s="2">
        <v>113</v>
      </c>
      <c r="C117" s="3">
        <v>5</v>
      </c>
      <c r="D117" s="3">
        <v>1</v>
      </c>
      <c r="E117" s="3">
        <v>4</v>
      </c>
      <c r="F117" s="3">
        <v>5</v>
      </c>
      <c r="G117" s="3">
        <v>5</v>
      </c>
      <c r="H117" s="3">
        <v>5</v>
      </c>
      <c r="I117" s="3">
        <v>5</v>
      </c>
      <c r="J117" s="3">
        <v>4</v>
      </c>
      <c r="K117" s="3">
        <v>4</v>
      </c>
      <c r="L117" s="3">
        <v>5</v>
      </c>
      <c r="M117" s="4">
        <v>4</v>
      </c>
      <c r="N117" s="3">
        <v>4</v>
      </c>
      <c r="O117" s="5">
        <f t="shared" si="3"/>
        <v>4.25</v>
      </c>
    </row>
    <row r="118" spans="2:15" ht="23.25" customHeight="1" thickBot="1" x14ac:dyDescent="0.4">
      <c r="B118" s="2">
        <v>114</v>
      </c>
      <c r="C118" s="3">
        <v>5</v>
      </c>
      <c r="D118" s="3">
        <v>3</v>
      </c>
      <c r="E118" s="3">
        <v>5</v>
      </c>
      <c r="F118" s="3">
        <v>5</v>
      </c>
      <c r="G118" s="3">
        <v>4</v>
      </c>
      <c r="H118" s="3">
        <v>4</v>
      </c>
      <c r="I118" s="3">
        <v>5</v>
      </c>
      <c r="J118" s="3">
        <v>5</v>
      </c>
      <c r="K118" s="3">
        <v>5</v>
      </c>
      <c r="L118" s="3">
        <v>5</v>
      </c>
      <c r="M118" s="4">
        <v>5</v>
      </c>
      <c r="N118" s="3">
        <v>5</v>
      </c>
      <c r="O118" s="5">
        <f t="shared" si="3"/>
        <v>4.666666666666667</v>
      </c>
    </row>
    <row r="119" spans="2:15" ht="23.25" customHeight="1" thickBot="1" x14ac:dyDescent="0.4">
      <c r="B119" s="2">
        <v>115</v>
      </c>
      <c r="C119" s="3">
        <v>5</v>
      </c>
      <c r="D119" s="3">
        <v>4</v>
      </c>
      <c r="E119" s="3">
        <v>4</v>
      </c>
      <c r="F119" s="3">
        <v>5</v>
      </c>
      <c r="G119" s="3">
        <v>4</v>
      </c>
      <c r="H119" s="3">
        <v>3</v>
      </c>
      <c r="I119" s="3">
        <v>5</v>
      </c>
      <c r="J119" s="3">
        <v>4</v>
      </c>
      <c r="K119" s="3">
        <v>4</v>
      </c>
      <c r="L119" s="3">
        <v>4</v>
      </c>
      <c r="M119" s="4">
        <v>3</v>
      </c>
      <c r="N119" s="3">
        <v>4</v>
      </c>
      <c r="O119" s="5">
        <f t="shared" si="3"/>
        <v>4.083333333333333</v>
      </c>
    </row>
    <row r="120" spans="2:15" ht="23.25" customHeight="1" thickBot="1" x14ac:dyDescent="0.4">
      <c r="B120" s="2">
        <v>116</v>
      </c>
      <c r="C120" s="3">
        <v>5</v>
      </c>
      <c r="D120" s="3">
        <v>3</v>
      </c>
      <c r="E120" s="3">
        <v>4</v>
      </c>
      <c r="F120" s="3">
        <v>5</v>
      </c>
      <c r="G120" s="3">
        <v>5</v>
      </c>
      <c r="H120" s="3">
        <v>4</v>
      </c>
      <c r="I120" s="3">
        <v>4</v>
      </c>
      <c r="J120" s="3">
        <v>5</v>
      </c>
      <c r="K120" s="3">
        <v>5</v>
      </c>
      <c r="L120" s="3">
        <v>3</v>
      </c>
      <c r="M120" s="4">
        <v>4</v>
      </c>
      <c r="N120" s="3">
        <v>4</v>
      </c>
      <c r="O120" s="5">
        <f t="shared" si="3"/>
        <v>4.25</v>
      </c>
    </row>
    <row r="121" spans="2:15" ht="23.25" customHeight="1" thickBot="1" x14ac:dyDescent="0.4">
      <c r="B121" s="2">
        <v>117</v>
      </c>
      <c r="C121" s="3">
        <v>4</v>
      </c>
      <c r="D121" s="3">
        <v>2</v>
      </c>
      <c r="E121" s="3">
        <v>4</v>
      </c>
      <c r="F121" s="3">
        <v>5</v>
      </c>
      <c r="G121" s="3">
        <v>4</v>
      </c>
      <c r="H121" s="3">
        <v>3</v>
      </c>
      <c r="I121" s="3">
        <v>5</v>
      </c>
      <c r="J121" s="3">
        <v>5</v>
      </c>
      <c r="K121" s="3">
        <v>5</v>
      </c>
      <c r="L121" s="3">
        <v>5</v>
      </c>
      <c r="M121" s="4">
        <v>4</v>
      </c>
      <c r="N121" s="3">
        <v>4</v>
      </c>
      <c r="O121" s="5">
        <f t="shared" si="3"/>
        <v>4.166666666666667</v>
      </c>
    </row>
    <row r="122" spans="2:15" ht="23.25" customHeight="1" thickBot="1" x14ac:dyDescent="0.4">
      <c r="B122" s="2">
        <v>118</v>
      </c>
      <c r="C122" s="3">
        <v>5</v>
      </c>
      <c r="D122" s="3">
        <v>3</v>
      </c>
      <c r="E122" s="3">
        <v>4</v>
      </c>
      <c r="F122" s="3">
        <v>5</v>
      </c>
      <c r="G122" s="3">
        <v>4</v>
      </c>
      <c r="H122" s="3">
        <v>4</v>
      </c>
      <c r="I122" s="3">
        <v>5</v>
      </c>
      <c r="J122" s="3">
        <v>4</v>
      </c>
      <c r="K122" s="3">
        <v>4</v>
      </c>
      <c r="L122" s="3">
        <v>5</v>
      </c>
      <c r="M122" s="4">
        <v>3</v>
      </c>
      <c r="N122" s="3">
        <v>4</v>
      </c>
      <c r="O122" s="5">
        <f t="shared" si="3"/>
        <v>4.166666666666667</v>
      </c>
    </row>
    <row r="123" spans="2:15" ht="23.25" customHeight="1" thickBot="1" x14ac:dyDescent="0.4">
      <c r="B123" s="2">
        <v>119</v>
      </c>
      <c r="C123" s="3">
        <v>5</v>
      </c>
      <c r="D123" s="3">
        <v>2</v>
      </c>
      <c r="E123" s="3">
        <v>5</v>
      </c>
      <c r="F123" s="3">
        <v>4</v>
      </c>
      <c r="G123" s="3">
        <v>5</v>
      </c>
      <c r="H123" s="3">
        <v>3</v>
      </c>
      <c r="I123" s="3">
        <v>5</v>
      </c>
      <c r="J123" s="3">
        <v>5</v>
      </c>
      <c r="K123" s="3">
        <v>5</v>
      </c>
      <c r="L123" s="3">
        <v>3</v>
      </c>
      <c r="M123" s="4">
        <v>4</v>
      </c>
      <c r="N123" s="3">
        <v>5</v>
      </c>
      <c r="O123" s="5">
        <f t="shared" si="3"/>
        <v>4.25</v>
      </c>
    </row>
    <row r="124" spans="2:15" ht="23.25" customHeight="1" thickBot="1" x14ac:dyDescent="0.4">
      <c r="B124" s="2">
        <v>120</v>
      </c>
      <c r="C124" s="3">
        <v>5</v>
      </c>
      <c r="D124" s="3">
        <v>3</v>
      </c>
      <c r="E124" s="3">
        <v>5</v>
      </c>
      <c r="F124" s="3">
        <v>4</v>
      </c>
      <c r="G124" s="3">
        <v>5</v>
      </c>
      <c r="H124" s="3">
        <v>4</v>
      </c>
      <c r="I124" s="3">
        <v>4</v>
      </c>
      <c r="J124" s="3">
        <v>5</v>
      </c>
      <c r="K124" s="3">
        <v>5</v>
      </c>
      <c r="L124" s="3">
        <v>5</v>
      </c>
      <c r="M124" s="4">
        <v>3</v>
      </c>
      <c r="N124" s="3">
        <v>4</v>
      </c>
      <c r="O124" s="5">
        <f t="shared" si="3"/>
        <v>4.333333333333333</v>
      </c>
    </row>
  </sheetData>
  <mergeCells count="14">
    <mergeCell ref="K1:K2"/>
    <mergeCell ref="J1:J2"/>
    <mergeCell ref="I1:I2"/>
    <mergeCell ref="H1:H2"/>
    <mergeCell ref="P1:P2"/>
    <mergeCell ref="O1:O2"/>
    <mergeCell ref="N1:N2"/>
    <mergeCell ref="M1:M2"/>
    <mergeCell ref="L1:L2"/>
    <mergeCell ref="G1:G2"/>
    <mergeCell ref="F1:F2"/>
    <mergeCell ref="E1:E2"/>
    <mergeCell ref="D1:D2"/>
    <mergeCell ref="C1:C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B1:AU124"/>
  <sheetViews>
    <sheetView tabSelected="1" topLeftCell="Q103" zoomScale="90" zoomScaleNormal="90" workbookViewId="0">
      <selection activeCell="AT76" sqref="AT76"/>
    </sheetView>
  </sheetViews>
  <sheetFormatPr defaultColWidth="9.1796875" defaultRowHeight="23.25" customHeight="1" x14ac:dyDescent="0.35"/>
  <cols>
    <col min="1" max="1" width="1.1796875" style="7" customWidth="1"/>
    <col min="2" max="2" width="5" style="7" customWidth="1"/>
    <col min="3" max="32" width="6.7265625" style="7" customWidth="1"/>
    <col min="33" max="33" width="8" style="7" customWidth="1"/>
    <col min="34" max="44" width="6.7265625" style="7" customWidth="1"/>
    <col min="45" max="46" width="21.54296875" style="7" customWidth="1"/>
    <col min="47" max="47" width="17.26953125" style="7" customWidth="1"/>
    <col min="48" max="16384" width="9.1796875" style="7"/>
  </cols>
  <sheetData>
    <row r="1" spans="2:47" ht="23.25" customHeight="1" thickBot="1" x14ac:dyDescent="0.4">
      <c r="C1" s="32">
        <v>1</v>
      </c>
      <c r="D1" s="33"/>
      <c r="E1" s="34"/>
      <c r="F1" s="32">
        <v>2</v>
      </c>
      <c r="G1" s="33"/>
      <c r="H1" s="34"/>
      <c r="I1" s="32">
        <v>3</v>
      </c>
      <c r="J1" s="33"/>
      <c r="K1" s="34"/>
      <c r="L1" s="32">
        <v>4</v>
      </c>
      <c r="M1" s="33"/>
      <c r="N1" s="34"/>
      <c r="O1" s="32">
        <v>5</v>
      </c>
      <c r="P1" s="33"/>
      <c r="Q1" s="34"/>
      <c r="R1" s="32">
        <v>6</v>
      </c>
      <c r="S1" s="33"/>
      <c r="T1" s="34"/>
      <c r="U1" s="32">
        <v>7</v>
      </c>
      <c r="V1" s="33"/>
      <c r="W1" s="34"/>
      <c r="X1" s="32">
        <v>8</v>
      </c>
      <c r="Y1" s="33"/>
      <c r="Z1" s="34"/>
      <c r="AA1" s="32">
        <v>9</v>
      </c>
      <c r="AB1" s="33"/>
      <c r="AC1" s="34"/>
      <c r="AD1" s="32">
        <v>10</v>
      </c>
      <c r="AE1" s="33"/>
      <c r="AF1" s="34"/>
      <c r="AG1" s="32">
        <v>11</v>
      </c>
      <c r="AH1" s="33"/>
      <c r="AI1" s="34"/>
      <c r="AJ1" s="32">
        <v>12</v>
      </c>
      <c r="AK1" s="33"/>
      <c r="AL1" s="34"/>
      <c r="AM1" s="32" t="s">
        <v>5</v>
      </c>
      <c r="AN1" s="33"/>
      <c r="AO1" s="34"/>
      <c r="AP1" s="32" t="s">
        <v>6</v>
      </c>
      <c r="AQ1" s="33"/>
      <c r="AR1" s="34"/>
      <c r="AS1" s="8" t="s">
        <v>7</v>
      </c>
      <c r="AT1" s="8" t="s">
        <v>9</v>
      </c>
      <c r="AU1" s="8" t="s">
        <v>10</v>
      </c>
    </row>
    <row r="2" spans="2:47" ht="23.25" customHeight="1" thickBot="1" x14ac:dyDescent="0.4">
      <c r="C2" s="9" t="s">
        <v>2</v>
      </c>
      <c r="D2" s="10" t="s">
        <v>3</v>
      </c>
      <c r="E2" s="11" t="s">
        <v>4</v>
      </c>
      <c r="F2" s="9" t="s">
        <v>2</v>
      </c>
      <c r="G2" s="10" t="s">
        <v>3</v>
      </c>
      <c r="H2" s="11" t="s">
        <v>4</v>
      </c>
      <c r="I2" s="9" t="s">
        <v>2</v>
      </c>
      <c r="J2" s="10" t="s">
        <v>3</v>
      </c>
      <c r="K2" s="11" t="s">
        <v>4</v>
      </c>
      <c r="L2" s="9" t="s">
        <v>2</v>
      </c>
      <c r="M2" s="10" t="s">
        <v>3</v>
      </c>
      <c r="N2" s="11" t="s">
        <v>4</v>
      </c>
      <c r="O2" s="9" t="s">
        <v>2</v>
      </c>
      <c r="P2" s="10" t="s">
        <v>3</v>
      </c>
      <c r="Q2" s="11" t="s">
        <v>4</v>
      </c>
      <c r="R2" s="9" t="s">
        <v>2</v>
      </c>
      <c r="S2" s="10" t="s">
        <v>3</v>
      </c>
      <c r="T2" s="11" t="s">
        <v>4</v>
      </c>
      <c r="U2" s="9" t="s">
        <v>2</v>
      </c>
      <c r="V2" s="10" t="s">
        <v>3</v>
      </c>
      <c r="W2" s="11" t="s">
        <v>4</v>
      </c>
      <c r="X2" s="9" t="s">
        <v>2</v>
      </c>
      <c r="Y2" s="10" t="s">
        <v>3</v>
      </c>
      <c r="Z2" s="11" t="s">
        <v>4</v>
      </c>
      <c r="AA2" s="9" t="s">
        <v>2</v>
      </c>
      <c r="AB2" s="10" t="s">
        <v>3</v>
      </c>
      <c r="AC2" s="11" t="s">
        <v>4</v>
      </c>
      <c r="AD2" s="9" t="s">
        <v>2</v>
      </c>
      <c r="AE2" s="10" t="s">
        <v>3</v>
      </c>
      <c r="AF2" s="11" t="s">
        <v>4</v>
      </c>
      <c r="AG2" s="9" t="s">
        <v>2</v>
      </c>
      <c r="AH2" s="10" t="s">
        <v>3</v>
      </c>
      <c r="AI2" s="11" t="s">
        <v>4</v>
      </c>
      <c r="AJ2" s="9" t="s">
        <v>2</v>
      </c>
      <c r="AK2" s="10" t="s">
        <v>3</v>
      </c>
      <c r="AL2" s="11" t="s">
        <v>4</v>
      </c>
      <c r="AM2" s="9" t="s">
        <v>2</v>
      </c>
      <c r="AN2" s="10" t="s">
        <v>3</v>
      </c>
      <c r="AO2" s="11" t="s">
        <v>4</v>
      </c>
      <c r="AP2" s="9" t="s">
        <v>2</v>
      </c>
      <c r="AQ2" s="10" t="s">
        <v>3</v>
      </c>
      <c r="AR2" s="11" t="s">
        <v>4</v>
      </c>
      <c r="AS2" s="11" t="s">
        <v>8</v>
      </c>
      <c r="AT2" s="11" t="s">
        <v>12</v>
      </c>
      <c r="AU2" s="11">
        <f>COUNTIF(AT3:AT75,"Pass")</f>
        <v>60</v>
      </c>
    </row>
    <row r="3" spans="2:47" ht="35.5" thickBot="1" x14ac:dyDescent="0.85">
      <c r="B3" s="2">
        <v>1</v>
      </c>
      <c r="C3" s="17">
        <f>IF('امتیاز دهی خبرگان'!$C3=0,0,IF('امتیاز دهی خبرگان'!$C3=1,'طیف فازی'!$B$2,IF('امتیاز دهی خبرگان'!$C3=2,'طیف فازی'!$B$3,IF('امتیاز دهی خبرگان'!$C3=3,'طیف فازی'!$B$4,IF('امتیاز دهی خبرگان'!$C3=4,'طیف فازی'!$B$5,'طیف فازی'!$B$6)))))</f>
        <v>0.5</v>
      </c>
      <c r="D3" s="18">
        <f>IF('امتیاز دهی خبرگان'!$C3=0,0,IF('امتیاز دهی خبرگان'!$C3=1,'طیف فازی'!$C$2,IF('امتیاز دهی خبرگان'!$C3=2,'طیف فازی'!$C$3,IF('امتیاز دهی خبرگان'!$C3=3,'طیف فازی'!$C$4,IF('امتیاز دهی خبرگان'!$C3=4,'طیف فازی'!$C$5,'طیف فازی'!$C$6)))))</f>
        <v>0.75</v>
      </c>
      <c r="E3" s="19">
        <f>IF('امتیاز دهی خبرگان'!$C3=0,0,IF('امتیاز دهی خبرگان'!$C3=1,'طیف فازی'!$D$2,IF('امتیاز دهی خبرگان'!$C3=2,'طیف فازی'!$D$3,IF('امتیاز دهی خبرگان'!$C3=3,'طیف فازی'!$D$4,IF('امتیاز دهی خبرگان'!$C3=4,'طیف فازی'!$D$5,'طیف فازی'!$D$6)))))</f>
        <v>1</v>
      </c>
      <c r="F3" s="20">
        <f>IF('امتیاز دهی خبرگان'!$D3=0,0,IF('امتیاز دهی خبرگان'!$D3=1,'طیف فازی'!$B$2,IF('امتیاز دهی خبرگان'!$D3=2,'طیف فازی'!$B$3,IF('امتیاز دهی خبرگان'!$D3=3,'طیف فازی'!$B$4,IF('امتیاز دهی خبرگان'!$D3=4,'طیف فازی'!$B$5,'طیف فازی'!$B$6)))))</f>
        <v>0.25</v>
      </c>
      <c r="G3" s="21">
        <f>IF('امتیاز دهی خبرگان'!$D3=0,0,IF('امتیاز دهی خبرگان'!$D3=1,'طیف فازی'!$D$2,IF('امتیاز دهی خبرگان'!$D3=2,'طیف فازی'!$C$3,IF('امتیاز دهی خبرگان'!$D3=3,'طیف فازی'!$C$4,IF('امتیاز دهی خبرگان'!$D3=4,'طیف فازی'!$C$5,'طیف فازی'!$C$6)))))</f>
        <v>0.5</v>
      </c>
      <c r="H3" s="22">
        <f>IF('امتیاز دهی خبرگان'!$D3=0,0,IF('امتیاز دهی خبرگان'!$D3=1,'طیف فازی'!$D$2,IF('امتیاز دهی خبرگان'!$D3=2,'طیف فازی'!$D$3,IF('امتیاز دهی خبرگان'!$D3=3,'طیف فازی'!$D$4,IF('امتیاز دهی خبرگان'!$D3=4,'طیف فازی'!$D$5,'طیف فازی'!$D$6)))))</f>
        <v>0.75</v>
      </c>
      <c r="I3" s="17">
        <f>IF('امتیاز دهی خبرگان'!$E3=0,0,IF('امتیاز دهی خبرگان'!$E3=1,'طیف فازی'!$B$2,IF('امتیاز دهی خبرگان'!$E3=2,'طیف فازی'!$B$3,IF('امتیاز دهی خبرگان'!$E3=3,'طیف فازی'!$B$4,IF('امتیاز دهی خبرگان'!$E3=4,'طیف فازی'!$B$5,'طیف فازی'!$B$6)))))</f>
        <v>0.25</v>
      </c>
      <c r="J3" s="18">
        <f>IF('امتیاز دهی خبرگان'!$E3=0,0,IF('امتیاز دهی خبرگان'!$E3=1,'طیف فازی'!$C$2,IF('امتیاز دهی خبرگان'!$E3=2,'طیف فازی'!$C$3,IF('امتیاز دهی خبرگان'!$E3=3,'طیف فازی'!$C$4,IF('امتیاز دهی خبرگان'!$E3=4,'طیف فازی'!$C$5,'طیف فازی'!$C$6)))))</f>
        <v>0.5</v>
      </c>
      <c r="K3" s="19">
        <f>IF('امتیاز دهی خبرگان'!$E3=0,0,IF('امتیاز دهی خبرگان'!$E3=1,'طیف فازی'!$D$2,IF('امتیاز دهی خبرگان'!$E3=2,'طیف فازی'!$D$3,IF('امتیاز دهی خبرگان'!$E3=3,'طیف فازی'!$D$4,IF('امتیاز دهی خبرگان'!$E3=4,'طیف فازی'!$D$5,'طیف فازی'!$D$6)))))</f>
        <v>0.75</v>
      </c>
      <c r="L3" s="17">
        <f>IF('امتیاز دهی خبرگان'!$F3=0,0,IF('امتیاز دهی خبرگان'!$F3=1,'طیف فازی'!$B$2,IF('امتیاز دهی خبرگان'!$F3=2,'طیف فازی'!$B$3,IF('امتیاز دهی خبرگان'!$F3=3,'طیف فازی'!$B$4,IF('امتیاز دهی خبرگان'!$F3=4,'طیف فازی'!$B$5,'طیف فازی'!$B$6)))))</f>
        <v>0.75</v>
      </c>
      <c r="M3" s="18">
        <f>IF('امتیاز دهی خبرگان'!$F3=0,0,IF('امتیاز دهی خبرگان'!$F3=1,'طیف فازی'!$C$2,IF('امتیاز دهی خبرگان'!$F3=2,'طیف فازی'!$C$3,IF('امتیاز دهی خبرگان'!$F3=3,'طیف فازی'!$C$4,IF('امتیاز دهی خبرگان'!$F3=4,'طیف فازی'!$C$5,'طیف فازی'!$C$6)))))</f>
        <v>1</v>
      </c>
      <c r="N3" s="19">
        <f>IF('امتیاز دهی خبرگان'!$F3=0,0,IF('امتیاز دهی خبرگان'!$F3=1,'طیف فازی'!$D$2,IF('امتیاز دهی خبرگان'!$F3=2,'طیف فازی'!$D$3,IF('امتیاز دهی خبرگان'!$F3=3,'طیف فازی'!$D$4,IF('امتیاز دهی خبرگان'!$F3=4,'طیف فازی'!$D$5,'طیف فازی'!$D$6)))))</f>
        <v>1</v>
      </c>
      <c r="O3" s="17">
        <f>IF('امتیاز دهی خبرگان'!$G3=0,0,IF('امتیاز دهی خبرگان'!$G3=1,'طیف فازی'!$B$2,IF('امتیاز دهی خبرگان'!$G3=2,'طیف فازی'!$B$3,IF('امتیاز دهی خبرگان'!$G3=3,'طیف فازی'!$B$4,IF('امتیاز دهی خبرگان'!$G3=4,'طیف فازی'!$B$5,'طیف فازی'!$B$6)))))</f>
        <v>0.5</v>
      </c>
      <c r="P3" s="18">
        <f>IF('امتیاز دهی خبرگان'!$G3=0,0,IF('امتیاز دهی خبرگان'!$G3=1,'طیف فازی'!$C$2,IF('امتیاز دهی خبرگان'!$G3=2,'طیف فازی'!$C$3,IF('امتیاز دهی خبرگان'!$G3=3,'طیف فازی'!$C$4,IF('امتیاز دهی خبرگان'!$G3=4,'طیف فازی'!$C$5,'طیف فازی'!$C$6)))))</f>
        <v>0.75</v>
      </c>
      <c r="Q3" s="19">
        <f>IF('امتیاز دهی خبرگان'!$G3=0,0,IF('امتیاز دهی خبرگان'!$G3=1,'طیف فازی'!$D$2,IF('امتیاز دهی خبرگان'!$G3=2,'طیف فازی'!$D$3,IF('امتیاز دهی خبرگان'!$G3=3,'طیف فازی'!$D$4,IF('امتیاز دهی خبرگان'!$G3=4,'طیف فازی'!$D$5,'طیف فازی'!$D$6)))))</f>
        <v>1</v>
      </c>
      <c r="R3" s="17">
        <f>IF('امتیاز دهی خبرگان'!$H3=0,0,IF('امتیاز دهی خبرگان'!$H3=1,'طیف فازی'!$B$2,IF('امتیاز دهی خبرگان'!$H3=2,'طیف فازی'!$B$3,IF('امتیاز دهی خبرگان'!$H3=3,'طیف فازی'!$B$4,IF('امتیاز دهی خبرگان'!$H3=4,'طیف فازی'!$B$5,'طیف فازی'!$B$6)))))</f>
        <v>0.5</v>
      </c>
      <c r="S3" s="18">
        <f>IF('امتیاز دهی خبرگان'!$H3=0,0,IF('امتیاز دهی خبرگان'!$H3=1,'طیف فازی'!$C$2,IF('امتیاز دهی خبرگان'!$H3=2,'طیف فازی'!$C$3,IF('امتیاز دهی خبرگان'!$H3=3,'طیف فازی'!$C$4,IF('امتیاز دهی خبرگان'!$H3=4,'طیف فازی'!$C$5,'طیف فازی'!$C$6)))))</f>
        <v>0.75</v>
      </c>
      <c r="T3" s="19">
        <f>IF('امتیاز دهی خبرگان'!$H3=0,0,IF('امتیاز دهی خبرگان'!$H3=1,'طیف فازی'!$D$2,IF('امتیاز دهی خبرگان'!$H3=2,'طیف فازی'!$D$3,IF('امتیاز دهی خبرگان'!$H3=3,'طیف فازی'!$D$4,IF('امتیاز دهی خبرگان'!$H3=4,'طیف فازی'!$D$5,'طیف فازی'!$D$6)))))</f>
        <v>1</v>
      </c>
      <c r="U3" s="17">
        <f>IF('امتیاز دهی خبرگان'!$I3=0,0,IF('امتیاز دهی خبرگان'!$I3=1,'طیف فازی'!$B$2,IF('امتیاز دهی خبرگان'!$I3=2,'طیف فازی'!$B$3,IF('امتیاز دهی خبرگان'!$I3=3,'طیف فازی'!$B$4,IF('امتیاز دهی خبرگان'!$I3=4,'طیف فازی'!$B$5,'طیف فازی'!$B$6)))))</f>
        <v>0.75</v>
      </c>
      <c r="V3" s="18">
        <f>IF('امتیاز دهی خبرگان'!$I3=0,0,IF('امتیاز دهی خبرگان'!$I3=1,'طیف فازی'!$C$2,IF('امتیاز دهی خبرگان'!$I3=2,'طیف فازی'!$C$3,IF('امتیاز دهی خبرگان'!$I3=3,'طیف فازی'!$C$4,IF('امتیاز دهی خبرگان'!$I3=4,'طیف فازی'!$C$5,'طیف فازی'!$C$6)))))</f>
        <v>1</v>
      </c>
      <c r="W3" s="19">
        <f>IF('امتیاز دهی خبرگان'!$I3=0,0,IF('امتیاز دهی خبرگان'!$I3=1,'طیف فازی'!$D$2,IF('امتیاز دهی خبرگان'!$I3=2,'طیف فازی'!$D$3,IF('امتیاز دهی خبرگان'!$I3=3,'طیف فازی'!$D$4,IF('امتیاز دهی خبرگان'!$I3=4,'طیف فازی'!$D$5,'طیف فازی'!$D$6)))))</f>
        <v>1</v>
      </c>
      <c r="X3" s="17">
        <f>IF('امتیاز دهی خبرگان'!$J3=0,0,IF('امتیاز دهی خبرگان'!$J3=1,'طیف فازی'!$B$2,IF('امتیاز دهی خبرگان'!$J3=2,'طیف فازی'!$B$3,IF('امتیاز دهی خبرگان'!$J3=3,'طیف فازی'!$B$4,IF('امتیاز دهی خبرگان'!$J3=4,'طیف فازی'!$B$5,'طیف فازی'!$B$6)))))</f>
        <v>0.5</v>
      </c>
      <c r="Y3" s="18">
        <f>IF('امتیاز دهی خبرگان'!$J3=0,0,IF('امتیاز دهی خبرگان'!$J3=1,'طیف فازی'!$C$2,IF('امتیاز دهی خبرگان'!$J3=2,'طیف فازی'!$C$3,IF('امتیاز دهی خبرگان'!$J3=3,'طیف فازی'!$C$4,IF('امتیاز دهی خبرگان'!$J3=4,'طیف فازی'!$C$5,'طیف فازی'!$C$6)))))</f>
        <v>0.75</v>
      </c>
      <c r="Z3" s="19">
        <f>IF('امتیاز دهی خبرگان'!$J3=0,0,IF('امتیاز دهی خبرگان'!$J3=1,'طیف فازی'!$D$2,IF('امتیاز دهی خبرگان'!$J3=2,'طیف فازی'!$D$3,IF('امتیاز دهی خبرگان'!$J3=3,'طیف فازی'!$D$4,IF('امتیاز دهی خبرگان'!$J3=4,'طیف فازی'!$D$5,'طیف فازی'!$D$6)))))</f>
        <v>1</v>
      </c>
      <c r="AA3" s="17">
        <f>IF('امتیاز دهی خبرگان'!$K3=0,0,IF('امتیاز دهی خبرگان'!$K3=1,'طیف فازی'!$B$2,IF('امتیاز دهی خبرگان'!$K3=2,'طیف فازی'!$B$3,IF('امتیاز دهی خبرگان'!$K3=3,'طیف فازی'!$B$4,IF('امتیاز دهی خبرگان'!$K3=4,'طیف فازی'!$B$5,'طیف فازی'!$B$6)))))</f>
        <v>0.5</v>
      </c>
      <c r="AB3" s="18">
        <f>IF('امتیاز دهی خبرگان'!$K3=0,0,IF('امتیاز دهی خبرگان'!$K3=1,'طیف فازی'!$C$2,IF('امتیاز دهی خبرگان'!$K3=2,'طیف فازی'!$C$3,IF('امتیاز دهی خبرگان'!$K3=3,'طیف فازی'!$C$4,IF('امتیاز دهی خبرگان'!$K3=4,'طیف فازی'!$C$5,'طیف فازی'!$C$6)))))</f>
        <v>0.75</v>
      </c>
      <c r="AC3" s="19">
        <f>IF('امتیاز دهی خبرگان'!$K3=0,0,IF('امتیاز دهی خبرگان'!$K3=1,'طیف فازی'!$D$2,IF('امتیاز دهی خبرگان'!$K3=2,'طیف فازی'!$D$3,IF('امتیاز دهی خبرگان'!$K3=3,'طیف فازی'!$D$4,IF('امتیاز دهی خبرگان'!$K3=4,'طیف فازی'!$D$5,'طیف فازی'!$D$6)))))</f>
        <v>1</v>
      </c>
      <c r="AD3" s="17">
        <f>IF('امتیاز دهی خبرگان'!$L3=0,0,IF('امتیاز دهی خبرگان'!$L3=1,'طیف فازی'!$B$2,IF('امتیاز دهی خبرگان'!$L3=2,'طیف فازی'!$B$3,IF('امتیاز دهی خبرگان'!$L3=3,'طیف فازی'!$B$4,IF('امتیاز دهی خبرگان'!$L3=4,'طیف فازی'!$B$5,'طیف فازی'!$B$6)))))</f>
        <v>0.5</v>
      </c>
      <c r="AE3" s="18">
        <f>IF('امتیاز دهی خبرگان'!$L3=0,0,IF('امتیاز دهی خبرگان'!$L3=1,'طیف فازی'!$C$2,IF('امتیاز دهی خبرگان'!$L3=2,'طیف فازی'!$C$3,IF('امتیاز دهی خبرگان'!$L3=3,'طیف فازی'!$C$4,IF('امتیاز دهی خبرگان'!$L3=4,'طیف فازی'!$C$5,'طیف فازی'!$C$6)))))</f>
        <v>0.75</v>
      </c>
      <c r="AF3" s="19">
        <f>IF('امتیاز دهی خبرگان'!$L3=0,0,IF('امتیاز دهی خبرگان'!$L3=1,'طیف فازی'!$D$2,IF('امتیاز دهی خبرگان'!$L3=2,'طیف فازی'!$D$3,IF('امتیاز دهی خبرگان'!$L3=3,'طیف فازی'!$D$4,IF('امتیاز دهی خبرگان'!$L3=4,'طیف فازی'!$D$5,'طیف فازی'!$D$6)))))</f>
        <v>1</v>
      </c>
      <c r="AG3" s="17">
        <f>IF('امتیاز دهی خبرگان'!$M3=0,0,IF('امتیاز دهی خبرگان'!$M3=1,'طیف فازی'!$B$2,IF('امتیاز دهی خبرگان'!$M3=2,'طیف فازی'!$B$3,IF('امتیاز دهی خبرگان'!$M3=3,'طیف فازی'!$B$4,IF('امتیاز دهی خبرگان'!$M3=4,'طیف فازی'!$B$5,'طیف فازی'!$B$6)))))</f>
        <v>0.5</v>
      </c>
      <c r="AH3" s="18">
        <f>IF('امتیاز دهی خبرگان'!$M3=0,0,IF('امتیاز دهی خبرگان'!$M3=1,'طیف فازی'!$C$2,IF('امتیاز دهی خبرگان'!$M3=2,'طیف فازی'!$C$3,IF('امتیاز دهی خبرگان'!$M3=3,'طیف فازی'!$C$4,IF('امتیاز دهی خبرگان'!$M3=4,'طیف فازی'!$C$5,'طیف فازی'!$C$6)))))</f>
        <v>0.75</v>
      </c>
      <c r="AI3" s="19">
        <f>IF('امتیاز دهی خبرگان'!$M3=0,0,IF('امتیاز دهی خبرگان'!$M3=1,'طیف فازی'!$D$2,IF('امتیاز دهی خبرگان'!$M3=2,'طیف فازی'!$D$3,IF('امتیاز دهی خبرگان'!$M3=3,'طیف فازی'!$D$4,IF('امتیاز دهی خبرگان'!$M3=4,'طیف فازی'!$D$5,'طیف فازی'!$D$6)))))</f>
        <v>1</v>
      </c>
      <c r="AJ3" s="17">
        <f>IF('امتیاز دهی خبرگان'!$N3=0,0,IF('امتیاز دهی خبرگان'!$N3=1,'طیف فازی'!$B$2,IF('امتیاز دهی خبرگان'!$N3=2,'طیف فازی'!$B$3,IF('امتیاز دهی خبرگان'!$N3=3,'طیف فازی'!$B$4,IF('امتیاز دهی خبرگان'!$N3=4,'طیف فازی'!$B$5,'طیف فازی'!$B$6)))))</f>
        <v>0.75</v>
      </c>
      <c r="AK3" s="18">
        <f>IF('امتیاز دهی خبرگان'!$N3=0,0,IF('امتیاز دهی خبرگان'!$N3=1,'طیف فازی'!$C$2,IF('امتیاز دهی خبرگان'!$N3=2,'طیف فازی'!$C$3,IF('امتیاز دهی خبرگان'!$N3=3,'طیف فازی'!$C$4,IF('امتیاز دهی خبرگان'!$N3=4,'طیف فازی'!$C$5,'طیف فازی'!$C$6)))))</f>
        <v>1</v>
      </c>
      <c r="AL3" s="19">
        <f>IF('امتیاز دهی خبرگان'!$N3=0,0,IF('امتیاز دهی خبرگان'!$N3=1,'طیف فازی'!$D$2,IF('امتیاز دهی خبرگان'!$N3=2,'طیف فازی'!$D$3,IF('امتیاز دهی خبرگان'!$N3=3,'طیف فازی'!$D$4,IF('امتیاز دهی خبرگان'!$N3=4,'طیف فازی'!$D$5,'طیف فازی'!$D$6)))))</f>
        <v>1</v>
      </c>
      <c r="AM3" s="23">
        <f>C3+F3+I3+L3+O3+R3+U3+X3+AA3+AD3+AG3+AJ3</f>
        <v>6.25</v>
      </c>
      <c r="AN3" s="23">
        <f>D3+G3+J3+M3+P3+S3+V3+Y3+AB3+AE3+AH3+AK3</f>
        <v>9.25</v>
      </c>
      <c r="AO3" s="24">
        <f>E3+H3+K3+N3+Q3+T3+W3+Z3+AC3+AF3+AI3+AL3</f>
        <v>11.5</v>
      </c>
      <c r="AP3" s="25">
        <f>(AM3)/$AU$4</f>
        <v>0.52083333333333337</v>
      </c>
      <c r="AQ3" s="23">
        <f t="shared" ref="AQ3:AR3" si="0">(AN3)/$AU$4</f>
        <v>0.77083333333333337</v>
      </c>
      <c r="AR3" s="24">
        <f t="shared" si="0"/>
        <v>0.95833333333333337</v>
      </c>
      <c r="AS3" s="24">
        <f>AVERAGE(AP3:AR3)</f>
        <v>0.75</v>
      </c>
      <c r="AT3" s="24" t="str">
        <f>IF(AS3&gt;=0.7,"Pass","Not Pass")</f>
        <v>Pass</v>
      </c>
      <c r="AU3" s="12" t="s">
        <v>11</v>
      </c>
    </row>
    <row r="4" spans="2:47" ht="23.25" customHeight="1" thickBot="1" x14ac:dyDescent="0.85">
      <c r="B4" s="2">
        <v>2</v>
      </c>
      <c r="C4" s="17">
        <f>IF('امتیاز دهی خبرگان'!$C4=0,0,IF('امتیاز دهی خبرگان'!$C4=1,'طیف فازی'!$B$2,IF('امتیاز دهی خبرگان'!$C4=2,'طیف فازی'!$B$3,IF('امتیاز دهی خبرگان'!$C4=3,'طیف فازی'!$B$4,IF('امتیاز دهی خبرگان'!$C4=4,'طیف فازی'!$B$5,'طیف فازی'!$B$6)))))</f>
        <v>0.5</v>
      </c>
      <c r="D4" s="18">
        <f>IF('امتیاز دهی خبرگان'!$C4=0,0,IF('امتیاز دهی خبرگان'!$C4=1,'طیف فازی'!$C$2,IF('امتیاز دهی خبرگان'!$C4=2,'طیف فازی'!$C$3,IF('امتیاز دهی خبرگان'!$C4=3,'طیف فازی'!$C$4,IF('امتیاز دهی خبرگان'!$C4=4,'طیف فازی'!$C$5,'طیف فازی'!$C$6)))))</f>
        <v>0.75</v>
      </c>
      <c r="E4" s="19">
        <f>IF('امتیاز دهی خبرگان'!$C4=0,0,IF('امتیاز دهی خبرگان'!$C4=1,'طیف فازی'!$D$2,IF('امتیاز دهی خبرگان'!$C4=2,'طیف فازی'!$D$3,IF('امتیاز دهی خبرگان'!$C4=3,'طیف فازی'!$D$4,IF('امتیاز دهی خبرگان'!$C4=4,'طیف فازی'!$D$5,'طیف فازی'!$D$6)))))</f>
        <v>1</v>
      </c>
      <c r="F4" s="20">
        <f>IF('امتیاز دهی خبرگان'!$D4=0,0,IF('امتیاز دهی خبرگان'!$D4=1,'طیف فازی'!$B$2,IF('امتیاز دهی خبرگان'!$D4=2,'طیف فازی'!$B$3,IF('امتیاز دهی خبرگان'!$D4=3,'طیف فازی'!$B$4,IF('امتیاز دهی خبرگان'!$D4=4,'طیف فازی'!$B$5,'طیف فازی'!$B$6)))))</f>
        <v>0.5</v>
      </c>
      <c r="G4" s="21">
        <f>IF('امتیاز دهی خبرگان'!$D4=0,0,IF('امتیاز دهی خبرگان'!$D4=1,'طیف فازی'!$D$2,IF('امتیاز دهی خبرگان'!$D4=2,'طیف فازی'!$C$3,IF('امتیاز دهی خبرگان'!$D4=3,'طیف فازی'!$C$4,IF('امتیاز دهی خبرگان'!$D4=4,'طیف فازی'!$C$5,'طیف فازی'!$C$6)))))</f>
        <v>0.75</v>
      </c>
      <c r="H4" s="22">
        <f>IF('امتیاز دهی خبرگان'!$D4=0,0,IF('امتیاز دهی خبرگان'!$D4=1,'طیف فازی'!$D$2,IF('امتیاز دهی خبرگان'!$D4=2,'طیف فازی'!$D$3,IF('امتیاز دهی خبرگان'!$D4=3,'طیف فازی'!$D$4,IF('امتیاز دهی خبرگان'!$D4=4,'طیف فازی'!$D$5,'طیف فازی'!$D$6)))))</f>
        <v>1</v>
      </c>
      <c r="I4" s="17">
        <f>IF('امتیاز دهی خبرگان'!$E4=0,0,IF('امتیاز دهی خبرگان'!$E4=1,'طیف فازی'!$B$2,IF('امتیاز دهی خبرگان'!$E4=2,'طیف فازی'!$B$3,IF('امتیاز دهی خبرگان'!$E4=3,'طیف فازی'!$B$4,IF('امتیاز دهی خبرگان'!$E4=4,'طیف فازی'!$B$5,'طیف فازی'!$B$6)))))</f>
        <v>0.5</v>
      </c>
      <c r="J4" s="18">
        <f>IF('امتیاز دهی خبرگان'!$E4=0,0,IF('امتیاز دهی خبرگان'!$E4=1,'طیف فازی'!$C$2,IF('امتیاز دهی خبرگان'!$E4=2,'طیف فازی'!$C$3,IF('امتیاز دهی خبرگان'!$E4=3,'طیف فازی'!$C$4,IF('امتیاز دهی خبرگان'!$E4=4,'طیف فازی'!$C$5,'طیف فازی'!$C$6)))))</f>
        <v>0.75</v>
      </c>
      <c r="K4" s="19">
        <f>IF('امتیاز دهی خبرگان'!$E4=0,0,IF('امتیاز دهی خبرگان'!$E4=1,'طیف فازی'!$D$2,IF('امتیاز دهی خبرگان'!$E4=2,'طیف فازی'!$D$3,IF('امتیاز دهی خبرگان'!$E4=3,'طیف فازی'!$D$4,IF('امتیاز دهی خبرگان'!$E4=4,'طیف فازی'!$D$5,'طیف فازی'!$D$6)))))</f>
        <v>1</v>
      </c>
      <c r="L4" s="17">
        <f>IF('امتیاز دهی خبرگان'!$F4=0,0,IF('امتیاز دهی خبرگان'!$F4=1,'طیف فازی'!$B$2,IF('امتیاز دهی خبرگان'!$F4=2,'طیف فازی'!$B$3,IF('امتیاز دهی خبرگان'!$F4=3,'طیف فازی'!$B$4,IF('امتیاز دهی خبرگان'!$F4=4,'طیف فازی'!$B$5,'طیف فازی'!$B$6)))))</f>
        <v>0.75</v>
      </c>
      <c r="M4" s="18">
        <f>IF('امتیاز دهی خبرگان'!$F4=0,0,IF('امتیاز دهی خبرگان'!$F4=1,'طیف فازی'!$C$2,IF('امتیاز دهی خبرگان'!$F4=2,'طیف فازی'!$C$3,IF('امتیاز دهی خبرگان'!$F4=3,'طیف فازی'!$C$4,IF('امتیاز دهی خبرگان'!$F4=4,'طیف فازی'!$C$5,'طیف فازی'!$C$6)))))</f>
        <v>1</v>
      </c>
      <c r="N4" s="19">
        <f>IF('امتیاز دهی خبرگان'!$F4=0,0,IF('امتیاز دهی خبرگان'!$F4=1,'طیف فازی'!$D$2,IF('امتیاز دهی خبرگان'!$F4=2,'طیف فازی'!$D$3,IF('امتیاز دهی خبرگان'!$F4=3,'طیف فازی'!$D$4,IF('امتیاز دهی خبرگان'!$F4=4,'طیف فازی'!$D$5,'طیف فازی'!$D$6)))))</f>
        <v>1</v>
      </c>
      <c r="O4" s="17">
        <f>IF('امتیاز دهی خبرگان'!$G4=0,0,IF('امتیاز دهی خبرگان'!$G4=1,'طیف فازی'!$B$2,IF('امتیاز دهی خبرگان'!$G4=2,'طیف فازی'!$B$3,IF('امتیاز دهی خبرگان'!$G4=3,'طیف فازی'!$B$4,IF('امتیاز دهی خبرگان'!$G4=4,'طیف فازی'!$B$5,'طیف فازی'!$B$6)))))</f>
        <v>0.75</v>
      </c>
      <c r="P4" s="18">
        <f>IF('امتیاز دهی خبرگان'!$G4=0,0,IF('امتیاز دهی خبرگان'!$G4=1,'طیف فازی'!$C$2,IF('امتیاز دهی خبرگان'!$G4=2,'طیف فازی'!$C$3,IF('امتیاز دهی خبرگان'!$G4=3,'طیف فازی'!$C$4,IF('امتیاز دهی خبرگان'!$G4=4,'طیف فازی'!$C$5,'طیف فازی'!$C$6)))))</f>
        <v>1</v>
      </c>
      <c r="Q4" s="19">
        <f>IF('امتیاز دهی خبرگان'!$G4=0,0,IF('امتیاز دهی خبرگان'!$G4=1,'طیف فازی'!$D$2,IF('امتیاز دهی خبرگان'!$G4=2,'طیف فازی'!$D$3,IF('امتیاز دهی خبرگان'!$G4=3,'طیف فازی'!$D$4,IF('امتیاز دهی خبرگان'!$G4=4,'طیف فازی'!$D$5,'طیف فازی'!$D$6)))))</f>
        <v>1</v>
      </c>
      <c r="R4" s="17">
        <f>IF('امتیاز دهی خبرگان'!$H4=0,0,IF('امتیاز دهی خبرگان'!$H4=1,'طیف فازی'!$B$2,IF('امتیاز دهی خبرگان'!$H4=2,'طیف فازی'!$B$3,IF('امتیاز دهی خبرگان'!$H4=3,'طیف فازی'!$B$4,IF('امتیاز دهی خبرگان'!$H4=4,'طیف فازی'!$B$5,'طیف فازی'!$B$6)))))</f>
        <v>0.5</v>
      </c>
      <c r="S4" s="18">
        <f>IF('امتیاز دهی خبرگان'!$H4=0,0,IF('امتیاز دهی خبرگان'!$H4=1,'طیف فازی'!$C$2,IF('امتیاز دهی خبرگان'!$H4=2,'طیف فازی'!$C$3,IF('امتیاز دهی خبرگان'!$H4=3,'طیف فازی'!$C$4,IF('امتیاز دهی خبرگان'!$H4=4,'طیف فازی'!$C$5,'طیف فازی'!$C$6)))))</f>
        <v>0.75</v>
      </c>
      <c r="T4" s="19">
        <f>IF('امتیاز دهی خبرگان'!$H4=0,0,IF('امتیاز دهی خبرگان'!$H4=1,'طیف فازی'!$D$2,IF('امتیاز دهی خبرگان'!$H4=2,'طیف فازی'!$D$3,IF('امتیاز دهی خبرگان'!$H4=3,'طیف فازی'!$D$4,IF('امتیاز دهی خبرگان'!$H4=4,'طیف فازی'!$D$5,'طیف فازی'!$D$6)))))</f>
        <v>1</v>
      </c>
      <c r="U4" s="17">
        <f>IF('امتیاز دهی خبرگان'!$I4=0,0,IF('امتیاز دهی خبرگان'!$I4=1,'طیف فازی'!$B$2,IF('امتیاز دهی خبرگان'!$I4=2,'طیف فازی'!$B$3,IF('امتیاز دهی خبرگان'!$I4=3,'طیف فازی'!$B$4,IF('امتیاز دهی خبرگان'!$I4=4,'طیف فازی'!$B$5,'طیف فازی'!$B$6)))))</f>
        <v>0.75</v>
      </c>
      <c r="V4" s="18">
        <f>IF('امتیاز دهی خبرگان'!$I4=0,0,IF('امتیاز دهی خبرگان'!$I4=1,'طیف فازی'!$C$2,IF('امتیاز دهی خبرگان'!$I4=2,'طیف فازی'!$C$3,IF('امتیاز دهی خبرگان'!$I4=3,'طیف فازی'!$C$4,IF('امتیاز دهی خبرگان'!$I4=4,'طیف فازی'!$C$5,'طیف فازی'!$C$6)))))</f>
        <v>1</v>
      </c>
      <c r="W4" s="19">
        <f>IF('امتیاز دهی خبرگان'!$I4=0,0,IF('امتیاز دهی خبرگان'!$I4=1,'طیف فازی'!$D$2,IF('امتیاز دهی خبرگان'!$I4=2,'طیف فازی'!$D$3,IF('امتیاز دهی خبرگان'!$I4=3,'طیف فازی'!$D$4,IF('امتیاز دهی خبرگان'!$I4=4,'طیف فازی'!$D$5,'طیف فازی'!$D$6)))))</f>
        <v>1</v>
      </c>
      <c r="X4" s="17">
        <f>IF('امتیاز دهی خبرگان'!$J4=0,0,IF('امتیاز دهی خبرگان'!$J4=1,'طیف فازی'!$B$2,IF('امتیاز دهی خبرگان'!$J4=2,'طیف فازی'!$B$3,IF('امتیاز دهی خبرگان'!$J4=3,'طیف فازی'!$B$4,IF('امتیاز دهی خبرگان'!$J4=4,'طیف فازی'!$B$5,'طیف فازی'!$B$6)))))</f>
        <v>0.5</v>
      </c>
      <c r="Y4" s="18">
        <f>IF('امتیاز دهی خبرگان'!$J4=0,0,IF('امتیاز دهی خبرگان'!$J4=1,'طیف فازی'!$C$2,IF('امتیاز دهی خبرگان'!$J4=2,'طیف فازی'!$C$3,IF('امتیاز دهی خبرگان'!$J4=3,'طیف فازی'!$C$4,IF('امتیاز دهی خبرگان'!$J4=4,'طیف فازی'!$C$5,'طیف فازی'!$C$6)))))</f>
        <v>0.75</v>
      </c>
      <c r="Z4" s="19">
        <f>IF('امتیاز دهی خبرگان'!$J4=0,0,IF('امتیاز دهی خبرگان'!$J4=1,'طیف فازی'!$D$2,IF('امتیاز دهی خبرگان'!$J4=2,'طیف فازی'!$D$3,IF('امتیاز دهی خبرگان'!$J4=3,'طیف فازی'!$D$4,IF('امتیاز دهی خبرگان'!$J4=4,'طیف فازی'!$D$5,'طیف فازی'!$D$6)))))</f>
        <v>1</v>
      </c>
      <c r="AA4" s="17">
        <f>IF('امتیاز دهی خبرگان'!$K4=0,0,IF('امتیاز دهی خبرگان'!$K4=1,'طیف فازی'!$B$2,IF('امتیاز دهی خبرگان'!$K4=2,'طیف فازی'!$B$3,IF('امتیاز دهی خبرگان'!$K4=3,'طیف فازی'!$B$4,IF('امتیاز دهی خبرگان'!$K4=4,'طیف فازی'!$B$5,'طیف فازی'!$B$6)))))</f>
        <v>0.25</v>
      </c>
      <c r="AB4" s="18">
        <f>IF('امتیاز دهی خبرگان'!$K4=0,0,IF('امتیاز دهی خبرگان'!$K4=1,'طیف فازی'!$C$2,IF('امتیاز دهی خبرگان'!$K4=2,'طیف فازی'!$C$3,IF('امتیاز دهی خبرگان'!$K4=3,'طیف فازی'!$C$4,IF('امتیاز دهی خبرگان'!$K4=4,'طیف فازی'!$C$5,'طیف فازی'!$C$6)))))</f>
        <v>0.5</v>
      </c>
      <c r="AC4" s="19">
        <f>IF('امتیاز دهی خبرگان'!$K4=0,0,IF('امتیاز دهی خبرگان'!$K4=1,'طیف فازی'!$D$2,IF('امتیاز دهی خبرگان'!$K4=2,'طیف فازی'!$D$3,IF('امتیاز دهی خبرگان'!$K4=3,'طیف فازی'!$D$4,IF('امتیاز دهی خبرگان'!$K4=4,'طیف فازی'!$D$5,'طیف فازی'!$D$6)))))</f>
        <v>0.75</v>
      </c>
      <c r="AD4" s="17">
        <f>IF('امتیاز دهی خبرگان'!$L4=0,0,IF('امتیاز دهی خبرگان'!$L4=1,'طیف فازی'!$B$2,IF('امتیاز دهی خبرگان'!$L4=2,'طیف فازی'!$B$3,IF('امتیاز دهی خبرگان'!$L4=3,'طیف فازی'!$B$4,IF('امتیاز دهی خبرگان'!$L4=4,'طیف فازی'!$B$5,'طیف فازی'!$B$6)))))</f>
        <v>0.5</v>
      </c>
      <c r="AE4" s="18">
        <f>IF('امتیاز دهی خبرگان'!$L4=0,0,IF('امتیاز دهی خبرگان'!$L4=1,'طیف فازی'!$C$2,IF('امتیاز دهی خبرگان'!$L4=2,'طیف فازی'!$C$3,IF('امتیاز دهی خبرگان'!$L4=3,'طیف فازی'!$C$4,IF('امتیاز دهی خبرگان'!$L4=4,'طیف فازی'!$C$5,'طیف فازی'!$C$6)))))</f>
        <v>0.75</v>
      </c>
      <c r="AF4" s="19">
        <f>IF('امتیاز دهی خبرگان'!$L4=0,0,IF('امتیاز دهی خبرگان'!$L4=1,'طیف فازی'!$D$2,IF('امتیاز دهی خبرگان'!$L4=2,'طیف فازی'!$D$3,IF('امتیاز دهی خبرگان'!$L4=3,'طیف فازی'!$D$4,IF('امتیاز دهی خبرگان'!$L4=4,'طیف فازی'!$D$5,'طیف فازی'!$D$6)))))</f>
        <v>1</v>
      </c>
      <c r="AG4" s="17">
        <f>IF('امتیاز دهی خبرگان'!$M4=0,0,IF('امتیاز دهی خبرگان'!$M4=1,'طیف فازی'!$B$2,IF('امتیاز دهی خبرگان'!$M4=2,'طیف فازی'!$B$3,IF('امتیاز دهی خبرگان'!$M4=3,'طیف فازی'!$B$4,IF('امتیاز دهی خبرگان'!$M4=4,'طیف فازی'!$B$5,'طیف فازی'!$B$6)))))</f>
        <v>0.5</v>
      </c>
      <c r="AH4" s="18">
        <f>IF('امتیاز دهی خبرگان'!$M4=0,0,IF('امتیاز دهی خبرگان'!$M4=1,'طیف فازی'!$C$2,IF('امتیاز دهی خبرگان'!$M4=2,'طیف فازی'!$C$3,IF('امتیاز دهی خبرگان'!$M4=3,'طیف فازی'!$C$4,IF('امتیاز دهی خبرگان'!$M4=4,'طیف فازی'!$C$5,'طیف فازی'!$C$6)))))</f>
        <v>0.75</v>
      </c>
      <c r="AI4" s="19">
        <f>IF('امتیاز دهی خبرگان'!$M4=0,0,IF('امتیاز دهی خبرگان'!$M4=1,'طیف فازی'!$D$2,IF('امتیاز دهی خبرگان'!$M4=2,'طیف فازی'!$D$3,IF('امتیاز دهی خبرگان'!$M4=3,'طیف فازی'!$D$4,IF('امتیاز دهی خبرگان'!$M4=4,'طیف فازی'!$D$5,'طیف فازی'!$D$6)))))</f>
        <v>1</v>
      </c>
      <c r="AJ4" s="17">
        <f>IF('امتیاز دهی خبرگان'!$N4=0,0,IF('امتیاز دهی خبرگان'!$N4=1,'طیف فازی'!$B$2,IF('امتیاز دهی خبرگان'!$N4=2,'طیف فازی'!$B$3,IF('امتیاز دهی خبرگان'!$N4=3,'طیف فازی'!$B$4,IF('امتیاز دهی خبرگان'!$N4=4,'طیف فازی'!$B$5,'طیف فازی'!$B$6)))))</f>
        <v>0.5</v>
      </c>
      <c r="AK4" s="18">
        <f>IF('امتیاز دهی خبرگان'!$N4=0,0,IF('امتیاز دهی خبرگان'!$N4=1,'طیف فازی'!$C$2,IF('امتیاز دهی خبرگان'!$N4=2,'طیف فازی'!$C$3,IF('امتیاز دهی خبرگان'!$N4=3,'طیف فازی'!$C$4,IF('امتیاز دهی خبرگان'!$N4=4,'طیف فازی'!$C$5,'طیف فازی'!$C$6)))))</f>
        <v>0.75</v>
      </c>
      <c r="AL4" s="19">
        <f>IF('امتیاز دهی خبرگان'!$N4=0,0,IF('امتیاز دهی خبرگان'!$N4=1,'طیف فازی'!$D$2,IF('امتیاز دهی خبرگان'!$N4=2,'طیف فازی'!$D$3,IF('امتیاز دهی خبرگان'!$N4=3,'طیف فازی'!$D$4,IF('امتیاز دهی خبرگان'!$N4=4,'طیف فازی'!$D$5,'طیف فازی'!$D$6)))))</f>
        <v>1</v>
      </c>
      <c r="AM4" s="23">
        <f t="shared" ref="AM4:AM67" si="1">C4+F4+I4+L4+O4+R4+U4+X4+AA4+AD4+AG4+AJ4</f>
        <v>6.5</v>
      </c>
      <c r="AN4" s="23">
        <f t="shared" ref="AN4:AN67" si="2">D4+G4+J4+M4+P4+S4+V4+Y4+AB4+AE4+AH4+AK4</f>
        <v>9.5</v>
      </c>
      <c r="AO4" s="24">
        <f t="shared" ref="AO4:AO67" si="3">E4+H4+K4+N4+Q4+T4+W4+Z4+AC4+AF4+AI4+AL4</f>
        <v>11.75</v>
      </c>
      <c r="AP4" s="25">
        <f t="shared" ref="AP4:AP67" si="4">(AM4)/$AU$4</f>
        <v>0.54166666666666663</v>
      </c>
      <c r="AQ4" s="23">
        <f t="shared" ref="AQ4:AQ67" si="5">(AN4)/$AU$4</f>
        <v>0.79166666666666663</v>
      </c>
      <c r="AR4" s="24">
        <f t="shared" ref="AR4:AR67" si="6">(AO4)/$AU$4</f>
        <v>0.97916666666666663</v>
      </c>
      <c r="AS4" s="24">
        <f t="shared" ref="AS4:AS67" si="7">AVERAGE(AP4:AR4)</f>
        <v>0.77083333333333337</v>
      </c>
      <c r="AT4" s="24" t="str">
        <f t="shared" ref="AT4:AT67" si="8">IF(AS4&gt;=0.7,"Pass","Not Pass")</f>
        <v>Pass</v>
      </c>
      <c r="AU4" s="11">
        <f>'امتیاز دهی خبرگان'!P3</f>
        <v>12</v>
      </c>
    </row>
    <row r="5" spans="2:47" ht="23.25" customHeight="1" thickBot="1" x14ac:dyDescent="0.85">
      <c r="B5" s="2">
        <v>3</v>
      </c>
      <c r="C5" s="17">
        <f>IF('امتیاز دهی خبرگان'!$C5=0,0,IF('امتیاز دهی خبرگان'!$C5=1,'طیف فازی'!$B$2,IF('امتیاز دهی خبرگان'!$C5=2,'طیف فازی'!$B$3,IF('امتیاز دهی خبرگان'!$C5=3,'طیف فازی'!$B$4,IF('امتیاز دهی خبرگان'!$C5=4,'طیف فازی'!$B$5,'طیف فازی'!$B$6)))))</f>
        <v>0.75</v>
      </c>
      <c r="D5" s="18">
        <f>IF('امتیاز دهی خبرگان'!$C5=0,0,IF('امتیاز دهی خبرگان'!$C5=1,'طیف فازی'!$C$2,IF('امتیاز دهی خبرگان'!$C5=2,'طیف فازی'!$C$3,IF('امتیاز دهی خبرگان'!$C5=3,'طیف فازی'!$C$4,IF('امتیاز دهی خبرگان'!$C5=4,'طیف فازی'!$C$5,'طیف فازی'!$C$6)))))</f>
        <v>1</v>
      </c>
      <c r="E5" s="19">
        <f>IF('امتیاز دهی خبرگان'!$C5=0,0,IF('امتیاز دهی خبرگان'!$C5=1,'طیف فازی'!$D$2,IF('امتیاز دهی خبرگان'!$C5=2,'طیف فازی'!$D$3,IF('امتیاز دهی خبرگان'!$C5=3,'طیف فازی'!$D$4,IF('امتیاز دهی خبرگان'!$C5=4,'طیف فازی'!$D$5,'طیف فازی'!$D$6)))))</f>
        <v>1</v>
      </c>
      <c r="F5" s="20">
        <f>IF('امتیاز دهی خبرگان'!$D5=0,0,IF('امتیاز دهی خبرگان'!$D5=1,'طیف فازی'!$B$2,IF('امتیاز دهی خبرگان'!$D5=2,'طیف فازی'!$B$3,IF('امتیاز دهی خبرگان'!$D5=3,'طیف فازی'!$B$4,IF('امتیاز دهی خبرگان'!$D5=4,'طیف فازی'!$B$5,'طیف فازی'!$B$6)))))</f>
        <v>0.5</v>
      </c>
      <c r="G5" s="21">
        <f>IF('امتیاز دهی خبرگان'!$D5=0,0,IF('امتیاز دهی خبرگان'!$D5=1,'طیف فازی'!$D$2,IF('امتیاز دهی خبرگان'!$D5=2,'طیف فازی'!$C$3,IF('امتیاز دهی خبرگان'!$D5=3,'طیف فازی'!$C$4,IF('امتیاز دهی خبرگان'!$D5=4,'طیف فازی'!$C$5,'طیف فازی'!$C$6)))))</f>
        <v>0.75</v>
      </c>
      <c r="H5" s="22">
        <f>IF('امتیاز دهی خبرگان'!$D5=0,0,IF('امتیاز دهی خبرگان'!$D5=1,'طیف فازی'!$D$2,IF('امتیاز دهی خبرگان'!$D5=2,'طیف فازی'!$D$3,IF('امتیاز دهی خبرگان'!$D5=3,'طیف فازی'!$D$4,IF('امتیاز دهی خبرگان'!$D5=4,'طیف فازی'!$D$5,'طیف فازی'!$D$6)))))</f>
        <v>1</v>
      </c>
      <c r="I5" s="17">
        <f>IF('امتیاز دهی خبرگان'!$E5=0,0,IF('امتیاز دهی خبرگان'!$E5=1,'طیف فازی'!$B$2,IF('امتیاز دهی خبرگان'!$E5=2,'طیف فازی'!$B$3,IF('امتیاز دهی خبرگان'!$E5=3,'طیف فازی'!$B$4,IF('امتیاز دهی خبرگان'!$E5=4,'طیف فازی'!$B$5,'طیف فازی'!$B$6)))))</f>
        <v>0.75</v>
      </c>
      <c r="J5" s="18">
        <f>IF('امتیاز دهی خبرگان'!$E5=0,0,IF('امتیاز دهی خبرگان'!$E5=1,'طیف فازی'!$C$2,IF('امتیاز دهی خبرگان'!$E5=2,'طیف فازی'!$C$3,IF('امتیاز دهی خبرگان'!$E5=3,'طیف فازی'!$C$4,IF('امتیاز دهی خبرگان'!$E5=4,'طیف فازی'!$C$5,'طیف فازی'!$C$6)))))</f>
        <v>1</v>
      </c>
      <c r="K5" s="19">
        <f>IF('امتیاز دهی خبرگان'!$E5=0,0,IF('امتیاز دهی خبرگان'!$E5=1,'طیف فازی'!$D$2,IF('امتیاز دهی خبرگان'!$E5=2,'طیف فازی'!$D$3,IF('امتیاز دهی خبرگان'!$E5=3,'طیف فازی'!$D$4,IF('امتیاز دهی خبرگان'!$E5=4,'طیف فازی'!$D$5,'طیف فازی'!$D$6)))))</f>
        <v>1</v>
      </c>
      <c r="L5" s="17">
        <f>IF('امتیاز دهی خبرگان'!$F5=0,0,IF('امتیاز دهی خبرگان'!$F5=1,'طیف فازی'!$B$2,IF('امتیاز دهی خبرگان'!$F5=2,'طیف فازی'!$B$3,IF('امتیاز دهی خبرگان'!$F5=3,'طیف فازی'!$B$4,IF('امتیاز دهی خبرگان'!$F5=4,'طیف فازی'!$B$5,'طیف فازی'!$B$6)))))</f>
        <v>0.25</v>
      </c>
      <c r="M5" s="18">
        <f>IF('امتیاز دهی خبرگان'!$F5=0,0,IF('امتیاز دهی خبرگان'!$F5=1,'طیف فازی'!$C$2,IF('امتیاز دهی خبرگان'!$F5=2,'طیف فازی'!$C$3,IF('امتیاز دهی خبرگان'!$F5=3,'طیف فازی'!$C$4,IF('امتیاز دهی خبرگان'!$F5=4,'طیف فازی'!$C$5,'طیف فازی'!$C$6)))))</f>
        <v>0.5</v>
      </c>
      <c r="N5" s="19">
        <f>IF('امتیاز دهی خبرگان'!$F5=0,0,IF('امتیاز دهی خبرگان'!$F5=1,'طیف فازی'!$D$2,IF('امتیاز دهی خبرگان'!$F5=2,'طیف فازی'!$D$3,IF('امتیاز دهی خبرگان'!$F5=3,'طیف فازی'!$D$4,IF('امتیاز دهی خبرگان'!$F5=4,'طیف فازی'!$D$5,'طیف فازی'!$D$6)))))</f>
        <v>0.75</v>
      </c>
      <c r="O5" s="17">
        <f>IF('امتیاز دهی خبرگان'!$G5=0,0,IF('امتیاز دهی خبرگان'!$G5=1,'طیف فازی'!$B$2,IF('امتیاز دهی خبرگان'!$G5=2,'طیف فازی'!$B$3,IF('امتیاز دهی خبرگان'!$G5=3,'طیف فازی'!$B$4,IF('امتیاز دهی خبرگان'!$G5=4,'طیف فازی'!$B$5,'طیف فازی'!$B$6)))))</f>
        <v>0.75</v>
      </c>
      <c r="P5" s="18">
        <f>IF('امتیاز دهی خبرگان'!$G5=0,0,IF('امتیاز دهی خبرگان'!$G5=1,'طیف فازی'!$C$2,IF('امتیاز دهی خبرگان'!$G5=2,'طیف فازی'!$C$3,IF('امتیاز دهی خبرگان'!$G5=3,'طیف فازی'!$C$4,IF('امتیاز دهی خبرگان'!$G5=4,'طیف فازی'!$C$5,'طیف فازی'!$C$6)))))</f>
        <v>1</v>
      </c>
      <c r="Q5" s="19">
        <f>IF('امتیاز دهی خبرگان'!$G5=0,0,IF('امتیاز دهی خبرگان'!$G5=1,'طیف فازی'!$D$2,IF('امتیاز دهی خبرگان'!$G5=2,'طیف فازی'!$D$3,IF('امتیاز دهی خبرگان'!$G5=3,'طیف فازی'!$D$4,IF('امتیاز دهی خبرگان'!$G5=4,'طیف فازی'!$D$5,'طیف فازی'!$D$6)))))</f>
        <v>1</v>
      </c>
      <c r="R5" s="17">
        <f>IF('امتیاز دهی خبرگان'!$H5=0,0,IF('امتیاز دهی خبرگان'!$H5=1,'طیف فازی'!$B$2,IF('امتیاز دهی خبرگان'!$H5=2,'طیف فازی'!$B$3,IF('امتیاز دهی خبرگان'!$H5=3,'طیف فازی'!$B$4,IF('امتیاز دهی خبرگان'!$H5=4,'طیف فازی'!$B$5,'طیف فازی'!$B$6)))))</f>
        <v>0.25</v>
      </c>
      <c r="S5" s="18">
        <f>IF('امتیاز دهی خبرگان'!$H5=0,0,IF('امتیاز دهی خبرگان'!$H5=1,'طیف فازی'!$C$2,IF('امتیاز دهی خبرگان'!$H5=2,'طیف فازی'!$C$3,IF('امتیاز دهی خبرگان'!$H5=3,'طیف فازی'!$C$4,IF('امتیاز دهی خبرگان'!$H5=4,'طیف فازی'!$C$5,'طیف فازی'!$C$6)))))</f>
        <v>0.5</v>
      </c>
      <c r="T5" s="19">
        <f>IF('امتیاز دهی خبرگان'!$H5=0,0,IF('امتیاز دهی خبرگان'!$H5=1,'طیف فازی'!$D$2,IF('امتیاز دهی خبرگان'!$H5=2,'طیف فازی'!$D$3,IF('امتیاز دهی خبرگان'!$H5=3,'طیف فازی'!$D$4,IF('امتیاز دهی خبرگان'!$H5=4,'طیف فازی'!$D$5,'طیف فازی'!$D$6)))))</f>
        <v>0.75</v>
      </c>
      <c r="U5" s="17">
        <f>IF('امتیاز دهی خبرگان'!$I5=0,0,IF('امتیاز دهی خبرگان'!$I5=1,'طیف فازی'!$B$2,IF('امتیاز دهی خبرگان'!$I5=2,'طیف فازی'!$B$3,IF('امتیاز دهی خبرگان'!$I5=3,'طیف فازی'!$B$4,IF('امتیاز دهی خبرگان'!$I5=4,'طیف فازی'!$B$5,'طیف فازی'!$B$6)))))</f>
        <v>0.75</v>
      </c>
      <c r="V5" s="18">
        <f>IF('امتیاز دهی خبرگان'!$I5=0,0,IF('امتیاز دهی خبرگان'!$I5=1,'طیف فازی'!$C$2,IF('امتیاز دهی خبرگان'!$I5=2,'طیف فازی'!$C$3,IF('امتیاز دهی خبرگان'!$I5=3,'طیف فازی'!$C$4,IF('امتیاز دهی خبرگان'!$I5=4,'طیف فازی'!$C$5,'طیف فازی'!$C$6)))))</f>
        <v>1</v>
      </c>
      <c r="W5" s="19">
        <f>IF('امتیاز دهی خبرگان'!$I5=0,0,IF('امتیاز دهی خبرگان'!$I5=1,'طیف فازی'!$D$2,IF('امتیاز دهی خبرگان'!$I5=2,'طیف فازی'!$D$3,IF('امتیاز دهی خبرگان'!$I5=3,'طیف فازی'!$D$4,IF('امتیاز دهی خبرگان'!$I5=4,'طیف فازی'!$D$5,'طیف فازی'!$D$6)))))</f>
        <v>1</v>
      </c>
      <c r="X5" s="17">
        <f>IF('امتیاز دهی خبرگان'!$J5=0,0,IF('امتیاز دهی خبرگان'!$J5=1,'طیف فازی'!$B$2,IF('امتیاز دهی خبرگان'!$J5=2,'طیف فازی'!$B$3,IF('امتیاز دهی خبرگان'!$J5=3,'طیف فازی'!$B$4,IF('امتیاز دهی خبرگان'!$J5=4,'طیف فازی'!$B$5,'طیف فازی'!$B$6)))))</f>
        <v>0.75</v>
      </c>
      <c r="Y5" s="18">
        <f>IF('امتیاز دهی خبرگان'!$J5=0,0,IF('امتیاز دهی خبرگان'!$J5=1,'طیف فازی'!$C$2,IF('امتیاز دهی خبرگان'!$J5=2,'طیف فازی'!$C$3,IF('امتیاز دهی خبرگان'!$J5=3,'طیف فازی'!$C$4,IF('امتیاز دهی خبرگان'!$J5=4,'طیف فازی'!$C$5,'طیف فازی'!$C$6)))))</f>
        <v>1</v>
      </c>
      <c r="Z5" s="19">
        <f>IF('امتیاز دهی خبرگان'!$J5=0,0,IF('امتیاز دهی خبرگان'!$J5=1,'طیف فازی'!$D$2,IF('امتیاز دهی خبرگان'!$J5=2,'طیف فازی'!$D$3,IF('امتیاز دهی خبرگان'!$J5=3,'طیف فازی'!$D$4,IF('امتیاز دهی خبرگان'!$J5=4,'طیف فازی'!$D$5,'طیف فازی'!$D$6)))))</f>
        <v>1</v>
      </c>
      <c r="AA5" s="17">
        <f>IF('امتیاز دهی خبرگان'!$K5=0,0,IF('امتیاز دهی خبرگان'!$K5=1,'طیف فازی'!$B$2,IF('امتیاز دهی خبرگان'!$K5=2,'طیف فازی'!$B$3,IF('امتیاز دهی خبرگان'!$K5=3,'طیف فازی'!$B$4,IF('امتیاز دهی خبرگان'!$K5=4,'طیف فازی'!$B$5,'طیف فازی'!$B$6)))))</f>
        <v>0.75</v>
      </c>
      <c r="AB5" s="18">
        <f>IF('امتیاز دهی خبرگان'!$K5=0,0,IF('امتیاز دهی خبرگان'!$K5=1,'طیف فازی'!$C$2,IF('امتیاز دهی خبرگان'!$K5=2,'طیف فازی'!$C$3,IF('امتیاز دهی خبرگان'!$K5=3,'طیف فازی'!$C$4,IF('امتیاز دهی خبرگان'!$K5=4,'طیف فازی'!$C$5,'طیف فازی'!$C$6)))))</f>
        <v>1</v>
      </c>
      <c r="AC5" s="19">
        <f>IF('امتیاز دهی خبرگان'!$K5=0,0,IF('امتیاز دهی خبرگان'!$K5=1,'طیف فازی'!$D$2,IF('امتیاز دهی خبرگان'!$K5=2,'طیف فازی'!$D$3,IF('امتیاز دهی خبرگان'!$K5=3,'طیف فازی'!$D$4,IF('امتیاز دهی خبرگان'!$K5=4,'طیف فازی'!$D$5,'طیف فازی'!$D$6)))))</f>
        <v>1</v>
      </c>
      <c r="AD5" s="17">
        <f>IF('امتیاز دهی خبرگان'!$L5=0,0,IF('امتیاز دهی خبرگان'!$L5=1,'طیف فازی'!$B$2,IF('امتیاز دهی خبرگان'!$L5=2,'طیف فازی'!$B$3,IF('امتیاز دهی خبرگان'!$L5=3,'طیف فازی'!$B$4,IF('امتیاز دهی خبرگان'!$L5=4,'طیف فازی'!$B$5,'طیف فازی'!$B$6)))))</f>
        <v>0.75</v>
      </c>
      <c r="AE5" s="18">
        <f>IF('امتیاز دهی خبرگان'!$L5=0,0,IF('امتیاز دهی خبرگان'!$L5=1,'طیف فازی'!$C$2,IF('امتیاز دهی خبرگان'!$L5=2,'طیف فازی'!$C$3,IF('امتیاز دهی خبرگان'!$L5=3,'طیف فازی'!$C$4,IF('امتیاز دهی خبرگان'!$L5=4,'طیف فازی'!$C$5,'طیف فازی'!$C$6)))))</f>
        <v>1</v>
      </c>
      <c r="AF5" s="19">
        <f>IF('امتیاز دهی خبرگان'!$L5=0,0,IF('امتیاز دهی خبرگان'!$L5=1,'طیف فازی'!$D$2,IF('امتیاز دهی خبرگان'!$L5=2,'طیف فازی'!$D$3,IF('امتیاز دهی خبرگان'!$L5=3,'طیف فازی'!$D$4,IF('امتیاز دهی خبرگان'!$L5=4,'طیف فازی'!$D$5,'طیف فازی'!$D$6)))))</f>
        <v>1</v>
      </c>
      <c r="AG5" s="17">
        <f>IF('امتیاز دهی خبرگان'!$M5=0,0,IF('امتیاز دهی خبرگان'!$M5=1,'طیف فازی'!$B$2,IF('امتیاز دهی خبرگان'!$M5=2,'طیف فازی'!$B$3,IF('امتیاز دهی خبرگان'!$M5=3,'طیف فازی'!$B$4,IF('امتیاز دهی خبرگان'!$M5=4,'طیف فازی'!$B$5,'طیف فازی'!$B$6)))))</f>
        <v>0.75</v>
      </c>
      <c r="AH5" s="18">
        <f>IF('امتیاز دهی خبرگان'!$M5=0,0,IF('امتیاز دهی خبرگان'!$M5=1,'طیف فازی'!$C$2,IF('امتیاز دهی خبرگان'!$M5=2,'طیف فازی'!$C$3,IF('امتیاز دهی خبرگان'!$M5=3,'طیف فازی'!$C$4,IF('امتیاز دهی خبرگان'!$M5=4,'طیف فازی'!$C$5,'طیف فازی'!$C$6)))))</f>
        <v>1</v>
      </c>
      <c r="AI5" s="19">
        <f>IF('امتیاز دهی خبرگان'!$M5=0,0,IF('امتیاز دهی خبرگان'!$M5=1,'طیف فازی'!$D$2,IF('امتیاز دهی خبرگان'!$M5=2,'طیف فازی'!$D$3,IF('امتیاز دهی خبرگان'!$M5=3,'طیف فازی'!$D$4,IF('امتیاز دهی خبرگان'!$M5=4,'طیف فازی'!$D$5,'طیف فازی'!$D$6)))))</f>
        <v>1</v>
      </c>
      <c r="AJ5" s="17">
        <f>IF('امتیاز دهی خبرگان'!$N5=0,0,IF('امتیاز دهی خبرگان'!$N5=1,'طیف فازی'!$B$2,IF('امتیاز دهی خبرگان'!$N5=2,'طیف فازی'!$B$3,IF('امتیاز دهی خبرگان'!$N5=3,'طیف فازی'!$B$4,IF('امتیاز دهی خبرگان'!$N5=4,'طیف فازی'!$B$5,'طیف فازی'!$B$6)))))</f>
        <v>0.75</v>
      </c>
      <c r="AK5" s="18">
        <f>IF('امتیاز دهی خبرگان'!$N5=0,0,IF('امتیاز دهی خبرگان'!$N5=1,'طیف فازی'!$C$2,IF('امتیاز دهی خبرگان'!$N5=2,'طیف فازی'!$C$3,IF('امتیاز دهی خبرگان'!$N5=3,'طیف فازی'!$C$4,IF('امتیاز دهی خبرگان'!$N5=4,'طیف فازی'!$C$5,'طیف فازی'!$C$6)))))</f>
        <v>1</v>
      </c>
      <c r="AL5" s="19">
        <f>IF('امتیاز دهی خبرگان'!$N5=0,0,IF('امتیاز دهی خبرگان'!$N5=1,'طیف فازی'!$D$2,IF('امتیاز دهی خبرگان'!$N5=2,'طیف فازی'!$D$3,IF('امتیاز دهی خبرگان'!$N5=3,'طیف فازی'!$D$4,IF('امتیاز دهی خبرگان'!$N5=4,'طیف فازی'!$D$5,'طیف فازی'!$D$6)))))</f>
        <v>1</v>
      </c>
      <c r="AM5" s="23">
        <f t="shared" si="1"/>
        <v>7.75</v>
      </c>
      <c r="AN5" s="23">
        <f t="shared" si="2"/>
        <v>10.75</v>
      </c>
      <c r="AO5" s="24">
        <f t="shared" si="3"/>
        <v>11.5</v>
      </c>
      <c r="AP5" s="25">
        <f t="shared" si="4"/>
        <v>0.64583333333333337</v>
      </c>
      <c r="AQ5" s="23">
        <f t="shared" si="5"/>
        <v>0.89583333333333337</v>
      </c>
      <c r="AR5" s="24">
        <f t="shared" si="6"/>
        <v>0.95833333333333337</v>
      </c>
      <c r="AS5" s="24">
        <f t="shared" si="7"/>
        <v>0.83333333333333337</v>
      </c>
      <c r="AT5" s="24" t="str">
        <f t="shared" si="8"/>
        <v>Pass</v>
      </c>
    </row>
    <row r="6" spans="2:47" ht="23.25" customHeight="1" thickBot="1" x14ac:dyDescent="0.85">
      <c r="B6" s="2">
        <v>4</v>
      </c>
      <c r="C6" s="17">
        <f>IF('امتیاز دهی خبرگان'!$C6=0,0,IF('امتیاز دهی خبرگان'!$C6=1,'طیف فازی'!$B$2,IF('امتیاز دهی خبرگان'!$C6=2,'طیف فازی'!$B$3,IF('امتیاز دهی خبرگان'!$C6=3,'طیف فازی'!$B$4,IF('امتیاز دهی خبرگان'!$C6=4,'طیف فازی'!$B$5,'طیف فازی'!$B$6)))))</f>
        <v>0.5</v>
      </c>
      <c r="D6" s="18">
        <f>IF('امتیاز دهی خبرگان'!$C6=0,0,IF('امتیاز دهی خبرگان'!$C6=1,'طیف فازی'!$C$2,IF('امتیاز دهی خبرگان'!$C6=2,'طیف فازی'!$C$3,IF('امتیاز دهی خبرگان'!$C6=3,'طیف فازی'!$C$4,IF('امتیاز دهی خبرگان'!$C6=4,'طیف فازی'!$C$5,'طیف فازی'!$C$6)))))</f>
        <v>0.75</v>
      </c>
      <c r="E6" s="19">
        <f>IF('امتیاز دهی خبرگان'!$C6=0,0,IF('امتیاز دهی خبرگان'!$C6=1,'طیف فازی'!$D$2,IF('امتیاز دهی خبرگان'!$C6=2,'طیف فازی'!$D$3,IF('امتیاز دهی خبرگان'!$C6=3,'طیف فازی'!$D$4,IF('امتیاز دهی خبرگان'!$C6=4,'طیف فازی'!$D$5,'طیف فازی'!$D$6)))))</f>
        <v>1</v>
      </c>
      <c r="F6" s="20">
        <f>IF('امتیاز دهی خبرگان'!$D6=0,0,IF('امتیاز دهی خبرگان'!$D6=1,'طیف فازی'!$B$2,IF('امتیاز دهی خبرگان'!$D6=2,'طیف فازی'!$B$3,IF('امتیاز دهی خبرگان'!$D6=3,'طیف فازی'!$B$4,IF('امتیاز دهی خبرگان'!$D6=4,'طیف فازی'!$B$5,'طیف فازی'!$B$6)))))</f>
        <v>0.5</v>
      </c>
      <c r="G6" s="21">
        <f>IF('امتیاز دهی خبرگان'!$D6=0,0,IF('امتیاز دهی خبرگان'!$D6=1,'طیف فازی'!$D$2,IF('امتیاز دهی خبرگان'!$D6=2,'طیف فازی'!$C$3,IF('امتیاز دهی خبرگان'!$D6=3,'طیف فازی'!$C$4,IF('امتیاز دهی خبرگان'!$D6=4,'طیف فازی'!$C$5,'طیف فازی'!$C$6)))))</f>
        <v>0.75</v>
      </c>
      <c r="H6" s="22">
        <f>IF('امتیاز دهی خبرگان'!$D6=0,0,IF('امتیاز دهی خبرگان'!$D6=1,'طیف فازی'!$D$2,IF('امتیاز دهی خبرگان'!$D6=2,'طیف فازی'!$D$3,IF('امتیاز دهی خبرگان'!$D6=3,'طیف فازی'!$D$4,IF('امتیاز دهی خبرگان'!$D6=4,'طیف فازی'!$D$5,'طیف فازی'!$D$6)))))</f>
        <v>1</v>
      </c>
      <c r="I6" s="17">
        <f>IF('امتیاز دهی خبرگان'!$E6=0,0,IF('امتیاز دهی خبرگان'!$E6=1,'طیف فازی'!$B$2,IF('امتیاز دهی خبرگان'!$E6=2,'طیف فازی'!$B$3,IF('امتیاز دهی خبرگان'!$E6=3,'طیف فازی'!$B$4,IF('امتیاز دهی خبرگان'!$E6=4,'طیف فازی'!$B$5,'طیف فازی'!$B$6)))))</f>
        <v>0.5</v>
      </c>
      <c r="J6" s="18">
        <f>IF('امتیاز دهی خبرگان'!$E6=0,0,IF('امتیاز دهی خبرگان'!$E6=1,'طیف فازی'!$C$2,IF('امتیاز دهی خبرگان'!$E6=2,'طیف فازی'!$C$3,IF('امتیاز دهی خبرگان'!$E6=3,'طیف فازی'!$C$4,IF('امتیاز دهی خبرگان'!$E6=4,'طیف فازی'!$C$5,'طیف فازی'!$C$6)))))</f>
        <v>0.75</v>
      </c>
      <c r="K6" s="19">
        <f>IF('امتیاز دهی خبرگان'!$E6=0,0,IF('امتیاز دهی خبرگان'!$E6=1,'طیف فازی'!$D$2,IF('امتیاز دهی خبرگان'!$E6=2,'طیف فازی'!$D$3,IF('امتیاز دهی خبرگان'!$E6=3,'طیف فازی'!$D$4,IF('امتیاز دهی خبرگان'!$E6=4,'طیف فازی'!$D$5,'طیف فازی'!$D$6)))))</f>
        <v>1</v>
      </c>
      <c r="L6" s="17">
        <f>IF('امتیاز دهی خبرگان'!$F6=0,0,IF('امتیاز دهی خبرگان'!$F6=1,'طیف فازی'!$B$2,IF('امتیاز دهی خبرگان'!$F6=2,'طیف فازی'!$B$3,IF('امتیاز دهی خبرگان'!$F6=3,'طیف فازی'!$B$4,IF('امتیاز دهی خبرگان'!$F6=4,'طیف فازی'!$B$5,'طیف فازی'!$B$6)))))</f>
        <v>0.25</v>
      </c>
      <c r="M6" s="18">
        <f>IF('امتیاز دهی خبرگان'!$F6=0,0,IF('امتیاز دهی خبرگان'!$F6=1,'طیف فازی'!$C$2,IF('امتیاز دهی خبرگان'!$F6=2,'طیف فازی'!$C$3,IF('امتیاز دهی خبرگان'!$F6=3,'طیف فازی'!$C$4,IF('امتیاز دهی خبرگان'!$F6=4,'طیف فازی'!$C$5,'طیف فازی'!$C$6)))))</f>
        <v>0.5</v>
      </c>
      <c r="N6" s="19">
        <f>IF('امتیاز دهی خبرگان'!$F6=0,0,IF('امتیاز دهی خبرگان'!$F6=1,'طیف فازی'!$D$2,IF('امتیاز دهی خبرگان'!$F6=2,'طیف فازی'!$D$3,IF('امتیاز دهی خبرگان'!$F6=3,'طیف فازی'!$D$4,IF('امتیاز دهی خبرگان'!$F6=4,'طیف فازی'!$D$5,'طیف فازی'!$D$6)))))</f>
        <v>0.75</v>
      </c>
      <c r="O6" s="17">
        <f>IF('امتیاز دهی خبرگان'!$G6=0,0,IF('امتیاز دهی خبرگان'!$G6=1,'طیف فازی'!$B$2,IF('امتیاز دهی خبرگان'!$G6=2,'طیف فازی'!$B$3,IF('امتیاز دهی خبرگان'!$G6=3,'طیف فازی'!$B$4,IF('امتیاز دهی خبرگان'!$G6=4,'طیف فازی'!$B$5,'طیف فازی'!$B$6)))))</f>
        <v>0.5</v>
      </c>
      <c r="P6" s="18">
        <f>IF('امتیاز دهی خبرگان'!$G6=0,0,IF('امتیاز دهی خبرگان'!$G6=1,'طیف فازی'!$C$2,IF('امتیاز دهی خبرگان'!$G6=2,'طیف فازی'!$C$3,IF('امتیاز دهی خبرگان'!$G6=3,'طیف فازی'!$C$4,IF('امتیاز دهی خبرگان'!$G6=4,'طیف فازی'!$C$5,'طیف فازی'!$C$6)))))</f>
        <v>0.75</v>
      </c>
      <c r="Q6" s="19">
        <f>IF('امتیاز دهی خبرگان'!$G6=0,0,IF('امتیاز دهی خبرگان'!$G6=1,'طیف فازی'!$D$2,IF('امتیاز دهی خبرگان'!$G6=2,'طیف فازی'!$D$3,IF('امتیاز دهی خبرگان'!$G6=3,'طیف فازی'!$D$4,IF('امتیاز دهی خبرگان'!$G6=4,'طیف فازی'!$D$5,'طیف فازی'!$D$6)))))</f>
        <v>1</v>
      </c>
      <c r="R6" s="17">
        <f>IF('امتیاز دهی خبرگان'!$H6=0,0,IF('امتیاز دهی خبرگان'!$H6=1,'طیف فازی'!$B$2,IF('امتیاز دهی خبرگان'!$H6=2,'طیف فازی'!$B$3,IF('امتیاز دهی خبرگان'!$H6=3,'طیف فازی'!$B$4,IF('امتیاز دهی خبرگان'!$H6=4,'طیف فازی'!$B$5,'طیف فازی'!$B$6)))))</f>
        <v>0.75</v>
      </c>
      <c r="S6" s="18">
        <f>IF('امتیاز دهی خبرگان'!$H6=0,0,IF('امتیاز دهی خبرگان'!$H6=1,'طیف فازی'!$C$2,IF('امتیاز دهی خبرگان'!$H6=2,'طیف فازی'!$C$3,IF('امتیاز دهی خبرگان'!$H6=3,'طیف فازی'!$C$4,IF('امتیاز دهی خبرگان'!$H6=4,'طیف فازی'!$C$5,'طیف فازی'!$C$6)))))</f>
        <v>1</v>
      </c>
      <c r="T6" s="19">
        <f>IF('امتیاز دهی خبرگان'!$H6=0,0,IF('امتیاز دهی خبرگان'!$H6=1,'طیف فازی'!$D$2,IF('امتیاز دهی خبرگان'!$H6=2,'طیف فازی'!$D$3,IF('امتیاز دهی خبرگان'!$H6=3,'طیف فازی'!$D$4,IF('امتیاز دهی خبرگان'!$H6=4,'طیف فازی'!$D$5,'طیف فازی'!$D$6)))))</f>
        <v>1</v>
      </c>
      <c r="U6" s="17">
        <f>IF('امتیاز دهی خبرگان'!$I6=0,0,IF('امتیاز دهی خبرگان'!$I6=1,'طیف فازی'!$B$2,IF('امتیاز دهی خبرگان'!$I6=2,'طیف فازی'!$B$3,IF('امتیاز دهی خبرگان'!$I6=3,'طیف فازی'!$B$4,IF('امتیاز دهی خبرگان'!$I6=4,'طیف فازی'!$B$5,'طیف فازی'!$B$6)))))</f>
        <v>0.25</v>
      </c>
      <c r="V6" s="18">
        <f>IF('امتیاز دهی خبرگان'!$I6=0,0,IF('امتیاز دهی خبرگان'!$I6=1,'طیف فازی'!$C$2,IF('امتیاز دهی خبرگان'!$I6=2,'طیف فازی'!$C$3,IF('امتیاز دهی خبرگان'!$I6=3,'طیف فازی'!$C$4,IF('امتیاز دهی خبرگان'!$I6=4,'طیف فازی'!$C$5,'طیف فازی'!$C$6)))))</f>
        <v>0.5</v>
      </c>
      <c r="W6" s="19">
        <f>IF('امتیاز دهی خبرگان'!$I6=0,0,IF('امتیاز دهی خبرگان'!$I6=1,'طیف فازی'!$D$2,IF('امتیاز دهی خبرگان'!$I6=2,'طیف فازی'!$D$3,IF('امتیاز دهی خبرگان'!$I6=3,'طیف فازی'!$D$4,IF('امتیاز دهی خبرگان'!$I6=4,'طیف فازی'!$D$5,'طیف فازی'!$D$6)))))</f>
        <v>0.75</v>
      </c>
      <c r="X6" s="17">
        <f>IF('امتیاز دهی خبرگان'!$J6=0,0,IF('امتیاز دهی خبرگان'!$J6=1,'طیف فازی'!$B$2,IF('امتیاز دهی خبرگان'!$J6=2,'طیف فازی'!$B$3,IF('امتیاز دهی خبرگان'!$J6=3,'طیف فازی'!$B$4,IF('امتیاز دهی خبرگان'!$J6=4,'طیف فازی'!$B$5,'طیف فازی'!$B$6)))))</f>
        <v>0.5</v>
      </c>
      <c r="Y6" s="18">
        <f>IF('امتیاز دهی خبرگان'!$J6=0,0,IF('امتیاز دهی خبرگان'!$J6=1,'طیف فازی'!$C$2,IF('امتیاز دهی خبرگان'!$J6=2,'طیف فازی'!$C$3,IF('امتیاز دهی خبرگان'!$J6=3,'طیف فازی'!$C$4,IF('امتیاز دهی خبرگان'!$J6=4,'طیف فازی'!$C$5,'طیف فازی'!$C$6)))))</f>
        <v>0.75</v>
      </c>
      <c r="Z6" s="19">
        <f>IF('امتیاز دهی خبرگان'!$J6=0,0,IF('امتیاز دهی خبرگان'!$J6=1,'طیف فازی'!$D$2,IF('امتیاز دهی خبرگان'!$J6=2,'طیف فازی'!$D$3,IF('امتیاز دهی خبرگان'!$J6=3,'طیف فازی'!$D$4,IF('امتیاز دهی خبرگان'!$J6=4,'طیف فازی'!$D$5,'طیف فازی'!$D$6)))))</f>
        <v>1</v>
      </c>
      <c r="AA6" s="17">
        <f>IF('امتیاز دهی خبرگان'!$K6=0,0,IF('امتیاز دهی خبرگان'!$K6=1,'طیف فازی'!$B$2,IF('امتیاز دهی خبرگان'!$K6=2,'طیف فازی'!$B$3,IF('امتیاز دهی خبرگان'!$K6=3,'طیف فازی'!$B$4,IF('امتیاز دهی خبرگان'!$K6=4,'طیف فازی'!$B$5,'طیف فازی'!$B$6)))))</f>
        <v>0.75</v>
      </c>
      <c r="AB6" s="18">
        <f>IF('امتیاز دهی خبرگان'!$K6=0,0,IF('امتیاز دهی خبرگان'!$K6=1,'طیف فازی'!$C$2,IF('امتیاز دهی خبرگان'!$K6=2,'طیف فازی'!$C$3,IF('امتیاز دهی خبرگان'!$K6=3,'طیف فازی'!$C$4,IF('امتیاز دهی خبرگان'!$K6=4,'طیف فازی'!$C$5,'طیف فازی'!$C$6)))))</f>
        <v>1</v>
      </c>
      <c r="AC6" s="19">
        <f>IF('امتیاز دهی خبرگان'!$K6=0,0,IF('امتیاز دهی خبرگان'!$K6=1,'طیف فازی'!$D$2,IF('امتیاز دهی خبرگان'!$K6=2,'طیف فازی'!$D$3,IF('امتیاز دهی خبرگان'!$K6=3,'طیف فازی'!$D$4,IF('امتیاز دهی خبرگان'!$K6=4,'طیف فازی'!$D$5,'طیف فازی'!$D$6)))))</f>
        <v>1</v>
      </c>
      <c r="AD6" s="17">
        <f>IF('امتیاز دهی خبرگان'!$L6=0,0,IF('امتیاز دهی خبرگان'!$L6=1,'طیف فازی'!$B$2,IF('امتیاز دهی خبرگان'!$L6=2,'طیف فازی'!$B$3,IF('امتیاز دهی خبرگان'!$L6=3,'طیف فازی'!$B$4,IF('امتیاز دهی خبرگان'!$L6=4,'طیف فازی'!$B$5,'طیف فازی'!$B$6)))))</f>
        <v>0.75</v>
      </c>
      <c r="AE6" s="18">
        <f>IF('امتیاز دهی خبرگان'!$L6=0,0,IF('امتیاز دهی خبرگان'!$L6=1,'طیف فازی'!$C$2,IF('امتیاز دهی خبرگان'!$L6=2,'طیف فازی'!$C$3,IF('امتیاز دهی خبرگان'!$L6=3,'طیف فازی'!$C$4,IF('امتیاز دهی خبرگان'!$L6=4,'طیف فازی'!$C$5,'طیف فازی'!$C$6)))))</f>
        <v>1</v>
      </c>
      <c r="AF6" s="19">
        <f>IF('امتیاز دهی خبرگان'!$L6=0,0,IF('امتیاز دهی خبرگان'!$L6=1,'طیف فازی'!$D$2,IF('امتیاز دهی خبرگان'!$L6=2,'طیف فازی'!$D$3,IF('امتیاز دهی خبرگان'!$L6=3,'طیف فازی'!$D$4,IF('امتیاز دهی خبرگان'!$L6=4,'طیف فازی'!$D$5,'طیف فازی'!$D$6)))))</f>
        <v>1</v>
      </c>
      <c r="AG6" s="17">
        <f>IF('امتیاز دهی خبرگان'!$M6=0,0,IF('امتیاز دهی خبرگان'!$M6=1,'طیف فازی'!$B$2,IF('امتیاز دهی خبرگان'!$M6=2,'طیف فازی'!$B$3,IF('امتیاز دهی خبرگان'!$M6=3,'طیف فازی'!$B$4,IF('امتیاز دهی خبرگان'!$M6=4,'طیف فازی'!$B$5,'طیف فازی'!$B$6)))))</f>
        <v>0.5</v>
      </c>
      <c r="AH6" s="18">
        <f>IF('امتیاز دهی خبرگان'!$M6=0,0,IF('امتیاز دهی خبرگان'!$M6=1,'طیف فازی'!$C$2,IF('امتیاز دهی خبرگان'!$M6=2,'طیف فازی'!$C$3,IF('امتیاز دهی خبرگان'!$M6=3,'طیف فازی'!$C$4,IF('امتیاز دهی خبرگان'!$M6=4,'طیف فازی'!$C$5,'طیف فازی'!$C$6)))))</f>
        <v>0.75</v>
      </c>
      <c r="AI6" s="19">
        <f>IF('امتیاز دهی خبرگان'!$M6=0,0,IF('امتیاز دهی خبرگان'!$M6=1,'طیف فازی'!$D$2,IF('امتیاز دهی خبرگان'!$M6=2,'طیف فازی'!$D$3,IF('امتیاز دهی خبرگان'!$M6=3,'طیف فازی'!$D$4,IF('امتیاز دهی خبرگان'!$M6=4,'طیف فازی'!$D$5,'طیف فازی'!$D$6)))))</f>
        <v>1</v>
      </c>
      <c r="AJ6" s="17">
        <f>IF('امتیاز دهی خبرگان'!$N6=0,0,IF('امتیاز دهی خبرگان'!$N6=1,'طیف فازی'!$B$2,IF('امتیاز دهی خبرگان'!$N6=2,'طیف فازی'!$B$3,IF('امتیاز دهی خبرگان'!$N6=3,'طیف فازی'!$B$4,IF('امتیاز دهی خبرگان'!$N6=4,'طیف فازی'!$B$5,'طیف فازی'!$B$6)))))</f>
        <v>0.5</v>
      </c>
      <c r="AK6" s="18">
        <f>IF('امتیاز دهی خبرگان'!$N6=0,0,IF('امتیاز دهی خبرگان'!$N6=1,'طیف فازی'!$C$2,IF('امتیاز دهی خبرگان'!$N6=2,'طیف فازی'!$C$3,IF('امتیاز دهی خبرگان'!$N6=3,'طیف فازی'!$C$4,IF('امتیاز دهی خبرگان'!$N6=4,'طیف فازی'!$C$5,'طیف فازی'!$C$6)))))</f>
        <v>0.75</v>
      </c>
      <c r="AL6" s="19">
        <f>IF('امتیاز دهی خبرگان'!$N6=0,0,IF('امتیاز دهی خبرگان'!$N6=1,'طیف فازی'!$D$2,IF('امتیاز دهی خبرگان'!$N6=2,'طیف فازی'!$D$3,IF('امتیاز دهی خبرگان'!$N6=3,'طیف فازی'!$D$4,IF('امتیاز دهی خبرگان'!$N6=4,'طیف فازی'!$D$5,'طیف فازی'!$D$6)))))</f>
        <v>1</v>
      </c>
      <c r="AM6" s="23">
        <f t="shared" si="1"/>
        <v>6.25</v>
      </c>
      <c r="AN6" s="23">
        <f t="shared" si="2"/>
        <v>9.25</v>
      </c>
      <c r="AO6" s="24">
        <f t="shared" si="3"/>
        <v>11.5</v>
      </c>
      <c r="AP6" s="25">
        <f t="shared" si="4"/>
        <v>0.52083333333333337</v>
      </c>
      <c r="AQ6" s="23">
        <f t="shared" si="5"/>
        <v>0.77083333333333337</v>
      </c>
      <c r="AR6" s="24">
        <f t="shared" si="6"/>
        <v>0.95833333333333337</v>
      </c>
      <c r="AS6" s="24">
        <f t="shared" si="7"/>
        <v>0.75</v>
      </c>
      <c r="AT6" s="24" t="str">
        <f t="shared" si="8"/>
        <v>Pass</v>
      </c>
    </row>
    <row r="7" spans="2:47" ht="23.25" customHeight="1" thickBot="1" x14ac:dyDescent="0.85">
      <c r="B7" s="2">
        <v>5</v>
      </c>
      <c r="C7" s="17">
        <f>IF('امتیاز دهی خبرگان'!$C7=0,0,IF('امتیاز دهی خبرگان'!$C7=1,'طیف فازی'!$B$2,IF('امتیاز دهی خبرگان'!$C7=2,'طیف فازی'!$B$3,IF('امتیاز دهی خبرگان'!$C7=3,'طیف فازی'!$B$4,IF('امتیاز دهی خبرگان'!$C7=4,'طیف فازی'!$B$5,'طیف فازی'!$B$6)))))</f>
        <v>0.75</v>
      </c>
      <c r="D7" s="18">
        <f>IF('امتیاز دهی خبرگان'!$C7=0,0,IF('امتیاز دهی خبرگان'!$C7=1,'طیف فازی'!$C$2,IF('امتیاز دهی خبرگان'!$C7=2,'طیف فازی'!$C$3,IF('امتیاز دهی خبرگان'!$C7=3,'طیف فازی'!$C$4,IF('امتیاز دهی خبرگان'!$C7=4,'طیف فازی'!$C$5,'طیف فازی'!$C$6)))))</f>
        <v>1</v>
      </c>
      <c r="E7" s="19">
        <f>IF('امتیاز دهی خبرگان'!$C7=0,0,IF('امتیاز دهی خبرگان'!$C7=1,'طیف فازی'!$D$2,IF('امتیاز دهی خبرگان'!$C7=2,'طیف فازی'!$D$3,IF('امتیاز دهی خبرگان'!$C7=3,'طیف فازی'!$D$4,IF('امتیاز دهی خبرگان'!$C7=4,'طیف فازی'!$D$5,'طیف فازی'!$D$6)))))</f>
        <v>1</v>
      </c>
      <c r="F7" s="20">
        <f>IF('امتیاز دهی خبرگان'!$D7=0,0,IF('امتیاز دهی خبرگان'!$D7=1,'طیف فازی'!$B$2,IF('امتیاز دهی خبرگان'!$D7=2,'طیف فازی'!$B$3,IF('امتیاز دهی خبرگان'!$D7=3,'طیف فازی'!$B$4,IF('امتیاز دهی خبرگان'!$D7=4,'طیف فازی'!$B$5,'طیف فازی'!$B$6)))))</f>
        <v>0</v>
      </c>
      <c r="G7" s="21">
        <f>IF('امتیاز دهی خبرگان'!$D7=0,0,IF('امتیاز دهی خبرگان'!$D7=1,'طیف فازی'!$D$2,IF('امتیاز دهی خبرگان'!$D7=2,'طیف فازی'!$C$3,IF('امتیاز دهی خبرگان'!$D7=3,'طیف فازی'!$C$4,IF('امتیاز دهی خبرگان'!$D7=4,'طیف فازی'!$C$5,'طیف فازی'!$C$6)))))</f>
        <v>0.25</v>
      </c>
      <c r="H7" s="22">
        <f>IF('امتیاز دهی خبرگان'!$D7=0,0,IF('امتیاز دهی خبرگان'!$D7=1,'طیف فازی'!$D$2,IF('امتیاز دهی خبرگان'!$D7=2,'طیف فازی'!$D$3,IF('امتیاز دهی خبرگان'!$D7=3,'طیف فازی'!$D$4,IF('امتیاز دهی خبرگان'!$D7=4,'طیف فازی'!$D$5,'طیف فازی'!$D$6)))))</f>
        <v>0.5</v>
      </c>
      <c r="I7" s="17">
        <f>IF('امتیاز دهی خبرگان'!$E7=0,0,IF('امتیاز دهی خبرگان'!$E7=1,'طیف فازی'!$B$2,IF('امتیاز دهی خبرگان'!$E7=2,'طیف فازی'!$B$3,IF('امتیاز دهی خبرگان'!$E7=3,'طیف فازی'!$B$4,IF('امتیاز دهی خبرگان'!$E7=4,'طیف فازی'!$B$5,'طیف فازی'!$B$6)))))</f>
        <v>0.25</v>
      </c>
      <c r="J7" s="18">
        <f>IF('امتیاز دهی خبرگان'!$E7=0,0,IF('امتیاز دهی خبرگان'!$E7=1,'طیف فازی'!$C$2,IF('امتیاز دهی خبرگان'!$E7=2,'طیف فازی'!$C$3,IF('امتیاز دهی خبرگان'!$E7=3,'طیف فازی'!$C$4,IF('امتیاز دهی خبرگان'!$E7=4,'طیف فازی'!$C$5,'طیف فازی'!$C$6)))))</f>
        <v>0.5</v>
      </c>
      <c r="K7" s="19">
        <f>IF('امتیاز دهی خبرگان'!$E7=0,0,IF('امتیاز دهی خبرگان'!$E7=1,'طیف فازی'!$D$2,IF('امتیاز دهی خبرگان'!$E7=2,'طیف فازی'!$D$3,IF('امتیاز دهی خبرگان'!$E7=3,'طیف فازی'!$D$4,IF('امتیاز دهی خبرگان'!$E7=4,'طیف فازی'!$D$5,'طیف فازی'!$D$6)))))</f>
        <v>0.75</v>
      </c>
      <c r="L7" s="17">
        <f>IF('امتیاز دهی خبرگان'!$F7=0,0,IF('امتیاز دهی خبرگان'!$F7=1,'طیف فازی'!$B$2,IF('امتیاز دهی خبرگان'!$F7=2,'طیف فازی'!$B$3,IF('امتیاز دهی خبرگان'!$F7=3,'طیف فازی'!$B$4,IF('امتیاز دهی خبرگان'!$F7=4,'طیف فازی'!$B$5,'طیف فازی'!$B$6)))))</f>
        <v>0.75</v>
      </c>
      <c r="M7" s="18">
        <f>IF('امتیاز دهی خبرگان'!$F7=0,0,IF('امتیاز دهی خبرگان'!$F7=1,'طیف فازی'!$C$2,IF('امتیاز دهی خبرگان'!$F7=2,'طیف فازی'!$C$3,IF('امتیاز دهی خبرگان'!$F7=3,'طیف فازی'!$C$4,IF('امتیاز دهی خبرگان'!$F7=4,'طیف فازی'!$C$5,'طیف فازی'!$C$6)))))</f>
        <v>1</v>
      </c>
      <c r="N7" s="19">
        <f>IF('امتیاز دهی خبرگان'!$F7=0,0,IF('امتیاز دهی خبرگان'!$F7=1,'طیف فازی'!$D$2,IF('امتیاز دهی خبرگان'!$F7=2,'طیف فازی'!$D$3,IF('امتیاز دهی خبرگان'!$F7=3,'طیف فازی'!$D$4,IF('امتیاز دهی خبرگان'!$F7=4,'طیف فازی'!$D$5,'طیف فازی'!$D$6)))))</f>
        <v>1</v>
      </c>
      <c r="O7" s="17">
        <f>IF('امتیاز دهی خبرگان'!$G7=0,0,IF('امتیاز دهی خبرگان'!$G7=1,'طیف فازی'!$B$2,IF('امتیاز دهی خبرگان'!$G7=2,'طیف فازی'!$B$3,IF('امتیاز دهی خبرگان'!$G7=3,'طیف فازی'!$B$4,IF('امتیاز دهی خبرگان'!$G7=4,'طیف فازی'!$B$5,'طیف فازی'!$B$6)))))</f>
        <v>0.75</v>
      </c>
      <c r="P7" s="18">
        <f>IF('امتیاز دهی خبرگان'!$G7=0,0,IF('امتیاز دهی خبرگان'!$G7=1,'طیف فازی'!$C$2,IF('امتیاز دهی خبرگان'!$G7=2,'طیف فازی'!$C$3,IF('امتیاز دهی خبرگان'!$G7=3,'طیف فازی'!$C$4,IF('امتیاز دهی خبرگان'!$G7=4,'طیف فازی'!$C$5,'طیف فازی'!$C$6)))))</f>
        <v>1</v>
      </c>
      <c r="Q7" s="19">
        <f>IF('امتیاز دهی خبرگان'!$G7=0,0,IF('امتیاز دهی خبرگان'!$G7=1,'طیف فازی'!$D$2,IF('امتیاز دهی خبرگان'!$G7=2,'طیف فازی'!$D$3,IF('امتیاز دهی خبرگان'!$G7=3,'طیف فازی'!$D$4,IF('امتیاز دهی خبرگان'!$G7=4,'طیف فازی'!$D$5,'طیف فازی'!$D$6)))))</f>
        <v>1</v>
      </c>
      <c r="R7" s="17">
        <f>IF('امتیاز دهی خبرگان'!$H7=0,0,IF('امتیاز دهی خبرگان'!$H7=1,'طیف فازی'!$B$2,IF('امتیاز دهی خبرگان'!$H7=2,'طیف فازی'!$B$3,IF('امتیاز دهی خبرگان'!$H7=3,'طیف فازی'!$B$4,IF('امتیاز دهی خبرگان'!$H7=4,'طیف فازی'!$B$5,'طیف فازی'!$B$6)))))</f>
        <v>0.5</v>
      </c>
      <c r="S7" s="18">
        <f>IF('امتیاز دهی خبرگان'!$H7=0,0,IF('امتیاز دهی خبرگان'!$H7=1,'طیف فازی'!$C$2,IF('امتیاز دهی خبرگان'!$H7=2,'طیف فازی'!$C$3,IF('امتیاز دهی خبرگان'!$H7=3,'طیف فازی'!$C$4,IF('امتیاز دهی خبرگان'!$H7=4,'طیف فازی'!$C$5,'طیف فازی'!$C$6)))))</f>
        <v>0.75</v>
      </c>
      <c r="T7" s="19">
        <f>IF('امتیاز دهی خبرگان'!$H7=0,0,IF('امتیاز دهی خبرگان'!$H7=1,'طیف فازی'!$D$2,IF('امتیاز دهی خبرگان'!$H7=2,'طیف فازی'!$D$3,IF('امتیاز دهی خبرگان'!$H7=3,'طیف فازی'!$D$4,IF('امتیاز دهی خبرگان'!$H7=4,'طیف فازی'!$D$5,'طیف فازی'!$D$6)))))</f>
        <v>1</v>
      </c>
      <c r="U7" s="17">
        <f>IF('امتیاز دهی خبرگان'!$I7=0,0,IF('امتیاز دهی خبرگان'!$I7=1,'طیف فازی'!$B$2,IF('امتیاز دهی خبرگان'!$I7=2,'طیف فازی'!$B$3,IF('امتیاز دهی خبرگان'!$I7=3,'طیف فازی'!$B$4,IF('امتیاز دهی خبرگان'!$I7=4,'طیف فازی'!$B$5,'طیف فازی'!$B$6)))))</f>
        <v>0.75</v>
      </c>
      <c r="V7" s="18">
        <f>IF('امتیاز دهی خبرگان'!$I7=0,0,IF('امتیاز دهی خبرگان'!$I7=1,'طیف فازی'!$C$2,IF('امتیاز دهی خبرگان'!$I7=2,'طیف فازی'!$C$3,IF('امتیاز دهی خبرگان'!$I7=3,'طیف فازی'!$C$4,IF('امتیاز دهی خبرگان'!$I7=4,'طیف فازی'!$C$5,'طیف فازی'!$C$6)))))</f>
        <v>1</v>
      </c>
      <c r="W7" s="19">
        <f>IF('امتیاز دهی خبرگان'!$I7=0,0,IF('امتیاز دهی خبرگان'!$I7=1,'طیف فازی'!$D$2,IF('امتیاز دهی خبرگان'!$I7=2,'طیف فازی'!$D$3,IF('امتیاز دهی خبرگان'!$I7=3,'طیف فازی'!$D$4,IF('امتیاز دهی خبرگان'!$I7=4,'طیف فازی'!$D$5,'طیف فازی'!$D$6)))))</f>
        <v>1</v>
      </c>
      <c r="X7" s="17">
        <f>IF('امتیاز دهی خبرگان'!$J7=0,0,IF('امتیاز دهی خبرگان'!$J7=1,'طیف فازی'!$B$2,IF('امتیاز دهی خبرگان'!$J7=2,'طیف فازی'!$B$3,IF('امتیاز دهی خبرگان'!$J7=3,'طیف فازی'!$B$4,IF('امتیاز دهی خبرگان'!$J7=4,'طیف فازی'!$B$5,'طیف فازی'!$B$6)))))</f>
        <v>0.5</v>
      </c>
      <c r="Y7" s="18">
        <f>IF('امتیاز دهی خبرگان'!$J7=0,0,IF('امتیاز دهی خبرگان'!$J7=1,'طیف فازی'!$C$2,IF('امتیاز دهی خبرگان'!$J7=2,'طیف فازی'!$C$3,IF('امتیاز دهی خبرگان'!$J7=3,'طیف فازی'!$C$4,IF('امتیاز دهی خبرگان'!$J7=4,'طیف فازی'!$C$5,'طیف فازی'!$C$6)))))</f>
        <v>0.75</v>
      </c>
      <c r="Z7" s="19">
        <f>IF('امتیاز دهی خبرگان'!$J7=0,0,IF('امتیاز دهی خبرگان'!$J7=1,'طیف فازی'!$D$2,IF('امتیاز دهی خبرگان'!$J7=2,'طیف فازی'!$D$3,IF('امتیاز دهی خبرگان'!$J7=3,'طیف فازی'!$D$4,IF('امتیاز دهی خبرگان'!$J7=4,'طیف فازی'!$D$5,'طیف فازی'!$D$6)))))</f>
        <v>1</v>
      </c>
      <c r="AA7" s="17">
        <f>IF('امتیاز دهی خبرگان'!$K7=0,0,IF('امتیاز دهی خبرگان'!$K7=1,'طیف فازی'!$B$2,IF('امتیاز دهی خبرگان'!$K7=2,'طیف فازی'!$B$3,IF('امتیاز دهی خبرگان'!$K7=3,'طیف فازی'!$B$4,IF('امتیاز دهی خبرگان'!$K7=4,'طیف فازی'!$B$5,'طیف فازی'!$B$6)))))</f>
        <v>0.5</v>
      </c>
      <c r="AB7" s="18">
        <f>IF('امتیاز دهی خبرگان'!$K7=0,0,IF('امتیاز دهی خبرگان'!$K7=1,'طیف فازی'!$C$2,IF('امتیاز دهی خبرگان'!$K7=2,'طیف فازی'!$C$3,IF('امتیاز دهی خبرگان'!$K7=3,'طیف فازی'!$C$4,IF('امتیاز دهی خبرگان'!$K7=4,'طیف فازی'!$C$5,'طیف فازی'!$C$6)))))</f>
        <v>0.75</v>
      </c>
      <c r="AC7" s="19">
        <f>IF('امتیاز دهی خبرگان'!$K7=0,0,IF('امتیاز دهی خبرگان'!$K7=1,'طیف فازی'!$D$2,IF('امتیاز دهی خبرگان'!$K7=2,'طیف فازی'!$D$3,IF('امتیاز دهی خبرگان'!$K7=3,'طیف فازی'!$D$4,IF('امتیاز دهی خبرگان'!$K7=4,'طیف فازی'!$D$5,'طیف فازی'!$D$6)))))</f>
        <v>1</v>
      </c>
      <c r="AD7" s="17">
        <f>IF('امتیاز دهی خبرگان'!$L7=0,0,IF('امتیاز دهی خبرگان'!$L7=1,'طیف فازی'!$B$2,IF('امتیاز دهی خبرگان'!$L7=2,'طیف فازی'!$B$3,IF('امتیاز دهی خبرگان'!$L7=3,'طیف فازی'!$B$4,IF('امتیاز دهی خبرگان'!$L7=4,'طیف فازی'!$B$5,'طیف فازی'!$B$6)))))</f>
        <v>0.5</v>
      </c>
      <c r="AE7" s="18">
        <f>IF('امتیاز دهی خبرگان'!$L7=0,0,IF('امتیاز دهی خبرگان'!$L7=1,'طیف فازی'!$C$2,IF('امتیاز دهی خبرگان'!$L7=2,'طیف فازی'!$C$3,IF('امتیاز دهی خبرگان'!$L7=3,'طیف فازی'!$C$4,IF('امتیاز دهی خبرگان'!$L7=4,'طیف فازی'!$C$5,'طیف فازی'!$C$6)))))</f>
        <v>0.75</v>
      </c>
      <c r="AF7" s="19">
        <f>IF('امتیاز دهی خبرگان'!$L7=0,0,IF('امتیاز دهی خبرگان'!$L7=1,'طیف فازی'!$D$2,IF('امتیاز دهی خبرگان'!$L7=2,'طیف فازی'!$D$3,IF('امتیاز دهی خبرگان'!$L7=3,'طیف فازی'!$D$4,IF('امتیاز دهی خبرگان'!$L7=4,'طیف فازی'!$D$5,'طیف فازی'!$D$6)))))</f>
        <v>1</v>
      </c>
      <c r="AG7" s="17">
        <f>IF('امتیاز دهی خبرگان'!$M7=0,0,IF('امتیاز دهی خبرگان'!$M7=1,'طیف فازی'!$B$2,IF('امتیاز دهی خبرگان'!$M7=2,'طیف فازی'!$B$3,IF('امتیاز دهی خبرگان'!$M7=3,'طیف فازی'!$B$4,IF('امتیاز دهی خبرگان'!$M7=4,'طیف فازی'!$B$5,'طیف فازی'!$B$6)))))</f>
        <v>0.5</v>
      </c>
      <c r="AH7" s="18">
        <f>IF('امتیاز دهی خبرگان'!$M7=0,0,IF('امتیاز دهی خبرگان'!$M7=1,'طیف فازی'!$C$2,IF('امتیاز دهی خبرگان'!$M7=2,'طیف فازی'!$C$3,IF('امتیاز دهی خبرگان'!$M7=3,'طیف فازی'!$C$4,IF('امتیاز دهی خبرگان'!$M7=4,'طیف فازی'!$C$5,'طیف فازی'!$C$6)))))</f>
        <v>0.75</v>
      </c>
      <c r="AI7" s="19">
        <f>IF('امتیاز دهی خبرگان'!$M7=0,0,IF('امتیاز دهی خبرگان'!$M7=1,'طیف فازی'!$D$2,IF('امتیاز دهی خبرگان'!$M7=2,'طیف فازی'!$D$3,IF('امتیاز دهی خبرگان'!$M7=3,'طیف فازی'!$D$4,IF('امتیاز دهی خبرگان'!$M7=4,'طیف فازی'!$D$5,'طیف فازی'!$D$6)))))</f>
        <v>1</v>
      </c>
      <c r="AJ7" s="17">
        <f>IF('امتیاز دهی خبرگان'!$N7=0,0,IF('امتیاز دهی خبرگان'!$N7=1,'طیف فازی'!$B$2,IF('امتیاز دهی خبرگان'!$N7=2,'طیف فازی'!$B$3,IF('امتیاز دهی خبرگان'!$N7=3,'طیف فازی'!$B$4,IF('امتیاز دهی خبرگان'!$N7=4,'طیف فازی'!$B$5,'طیف فازی'!$B$6)))))</f>
        <v>0.75</v>
      </c>
      <c r="AK7" s="18">
        <f>IF('امتیاز دهی خبرگان'!$N7=0,0,IF('امتیاز دهی خبرگان'!$N7=1,'طیف فازی'!$C$2,IF('امتیاز دهی خبرگان'!$N7=2,'طیف فازی'!$C$3,IF('امتیاز دهی خبرگان'!$N7=3,'طیف فازی'!$C$4,IF('امتیاز دهی خبرگان'!$N7=4,'طیف فازی'!$C$5,'طیف فازی'!$C$6)))))</f>
        <v>1</v>
      </c>
      <c r="AL7" s="19">
        <f>IF('امتیاز دهی خبرگان'!$N7=0,0,IF('امتیاز دهی خبرگان'!$N7=1,'طیف فازی'!$D$2,IF('امتیاز دهی خبرگان'!$N7=2,'طیف فازی'!$D$3,IF('امتیاز دهی خبرگان'!$N7=3,'طیف فازی'!$D$4,IF('امتیاز دهی خبرگان'!$N7=4,'طیف فازی'!$D$5,'طیف فازی'!$D$6)))))</f>
        <v>1</v>
      </c>
      <c r="AM7" s="23">
        <f t="shared" si="1"/>
        <v>6.5</v>
      </c>
      <c r="AN7" s="23">
        <f t="shared" si="2"/>
        <v>9.5</v>
      </c>
      <c r="AO7" s="24">
        <f t="shared" si="3"/>
        <v>11.25</v>
      </c>
      <c r="AP7" s="25">
        <f t="shared" si="4"/>
        <v>0.54166666666666663</v>
      </c>
      <c r="AQ7" s="23">
        <f t="shared" si="5"/>
        <v>0.79166666666666663</v>
      </c>
      <c r="AR7" s="24">
        <f t="shared" si="6"/>
        <v>0.9375</v>
      </c>
      <c r="AS7" s="24">
        <f t="shared" si="7"/>
        <v>0.75694444444444431</v>
      </c>
      <c r="AT7" s="24" t="str">
        <f t="shared" si="8"/>
        <v>Pass</v>
      </c>
    </row>
    <row r="8" spans="2:47" ht="23.25" customHeight="1" thickBot="1" x14ac:dyDescent="0.85">
      <c r="B8" s="2">
        <v>6</v>
      </c>
      <c r="C8" s="17">
        <f>IF('امتیاز دهی خبرگان'!$C8=0,0,IF('امتیاز دهی خبرگان'!$C8=1,'طیف فازی'!$B$2,IF('امتیاز دهی خبرگان'!$C8=2,'طیف فازی'!$B$3,IF('امتیاز دهی خبرگان'!$C8=3,'طیف فازی'!$B$4,IF('امتیاز دهی خبرگان'!$C8=4,'طیف فازی'!$B$5,'طیف فازی'!$B$6)))))</f>
        <v>0.75</v>
      </c>
      <c r="D8" s="18">
        <f>IF('امتیاز دهی خبرگان'!$C8=0,0,IF('امتیاز دهی خبرگان'!$C8=1,'طیف فازی'!$C$2,IF('امتیاز دهی خبرگان'!$C8=2,'طیف فازی'!$C$3,IF('امتیاز دهی خبرگان'!$C8=3,'طیف فازی'!$C$4,IF('امتیاز دهی خبرگان'!$C8=4,'طیف فازی'!$C$5,'طیف فازی'!$C$6)))))</f>
        <v>1</v>
      </c>
      <c r="E8" s="19">
        <f>IF('امتیاز دهی خبرگان'!$C8=0,0,IF('امتیاز دهی خبرگان'!$C8=1,'طیف فازی'!$D$2,IF('امتیاز دهی خبرگان'!$C8=2,'طیف فازی'!$D$3,IF('امتیاز دهی خبرگان'!$C8=3,'طیف فازی'!$D$4,IF('امتیاز دهی خبرگان'!$C8=4,'طیف فازی'!$D$5,'طیف فازی'!$D$6)))))</f>
        <v>1</v>
      </c>
      <c r="F8" s="20">
        <f>IF('امتیاز دهی خبرگان'!$D8=0,0,IF('امتیاز دهی خبرگان'!$D8=1,'طیف فازی'!$B$2,IF('امتیاز دهی خبرگان'!$D8=2,'طیف فازی'!$B$3,IF('امتیاز دهی خبرگان'!$D8=3,'طیف فازی'!$B$4,IF('امتیاز دهی خبرگان'!$D8=4,'طیف فازی'!$B$5,'طیف فازی'!$B$6)))))</f>
        <v>0.25</v>
      </c>
      <c r="G8" s="21">
        <f>IF('امتیاز دهی خبرگان'!$D8=0,0,IF('امتیاز دهی خبرگان'!$D8=1,'طیف فازی'!$D$2,IF('امتیاز دهی خبرگان'!$D8=2,'طیف فازی'!$C$3,IF('امتیاز دهی خبرگان'!$D8=3,'طیف فازی'!$C$4,IF('امتیاز دهی خبرگان'!$D8=4,'طیف فازی'!$C$5,'طیف فازی'!$C$6)))))</f>
        <v>0.5</v>
      </c>
      <c r="H8" s="22">
        <f>IF('امتیاز دهی خبرگان'!$D8=0,0,IF('امتیاز دهی خبرگان'!$D8=1,'طیف فازی'!$D$2,IF('امتیاز دهی خبرگان'!$D8=2,'طیف فازی'!$D$3,IF('امتیاز دهی خبرگان'!$D8=3,'طیف فازی'!$D$4,IF('امتیاز دهی خبرگان'!$D8=4,'طیف فازی'!$D$5,'طیف فازی'!$D$6)))))</f>
        <v>0.75</v>
      </c>
      <c r="I8" s="17">
        <f>IF('امتیاز دهی خبرگان'!$E8=0,0,IF('امتیاز دهی خبرگان'!$E8=1,'طیف فازی'!$B$2,IF('امتیاز دهی خبرگان'!$E8=2,'طیف فازی'!$B$3,IF('امتیاز دهی خبرگان'!$E8=3,'طیف فازی'!$B$4,IF('امتیاز دهی خبرگان'!$E8=4,'طیف فازی'!$B$5,'طیف فازی'!$B$6)))))</f>
        <v>0.5</v>
      </c>
      <c r="J8" s="18">
        <f>IF('امتیاز دهی خبرگان'!$E8=0,0,IF('امتیاز دهی خبرگان'!$E8=1,'طیف فازی'!$C$2,IF('امتیاز دهی خبرگان'!$E8=2,'طیف فازی'!$C$3,IF('امتیاز دهی خبرگان'!$E8=3,'طیف فازی'!$C$4,IF('امتیاز دهی خبرگان'!$E8=4,'طیف فازی'!$C$5,'طیف فازی'!$C$6)))))</f>
        <v>0.75</v>
      </c>
      <c r="K8" s="19">
        <f>IF('امتیاز دهی خبرگان'!$E8=0,0,IF('امتیاز دهی خبرگان'!$E8=1,'طیف فازی'!$D$2,IF('امتیاز دهی خبرگان'!$E8=2,'طیف فازی'!$D$3,IF('امتیاز دهی خبرگان'!$E8=3,'طیف فازی'!$D$4,IF('امتیاز دهی خبرگان'!$E8=4,'طیف فازی'!$D$5,'طیف فازی'!$D$6)))))</f>
        <v>1</v>
      </c>
      <c r="L8" s="17">
        <f>IF('امتیاز دهی خبرگان'!$F8=0,0,IF('امتیاز دهی خبرگان'!$F8=1,'طیف فازی'!$B$2,IF('امتیاز دهی خبرگان'!$F8=2,'طیف فازی'!$B$3,IF('امتیاز دهی خبرگان'!$F8=3,'طیف فازی'!$B$4,IF('امتیاز دهی خبرگان'!$F8=4,'طیف فازی'!$B$5,'طیف فازی'!$B$6)))))</f>
        <v>0.75</v>
      </c>
      <c r="M8" s="18">
        <f>IF('امتیاز دهی خبرگان'!$F8=0,0,IF('امتیاز دهی خبرگان'!$F8=1,'طیف فازی'!$C$2,IF('امتیاز دهی خبرگان'!$F8=2,'طیف فازی'!$C$3,IF('امتیاز دهی خبرگان'!$F8=3,'طیف فازی'!$C$4,IF('امتیاز دهی خبرگان'!$F8=4,'طیف فازی'!$C$5,'طیف فازی'!$C$6)))))</f>
        <v>1</v>
      </c>
      <c r="N8" s="19">
        <f>IF('امتیاز دهی خبرگان'!$F8=0,0,IF('امتیاز دهی خبرگان'!$F8=1,'طیف فازی'!$D$2,IF('امتیاز دهی خبرگان'!$F8=2,'طیف فازی'!$D$3,IF('امتیاز دهی خبرگان'!$F8=3,'طیف فازی'!$D$4,IF('امتیاز دهی خبرگان'!$F8=4,'طیف فازی'!$D$5,'طیف فازی'!$D$6)))))</f>
        <v>1</v>
      </c>
      <c r="O8" s="17">
        <f>IF('امتیاز دهی خبرگان'!$G8=0,0,IF('امتیاز دهی خبرگان'!$G8=1,'طیف فازی'!$B$2,IF('امتیاز دهی خبرگان'!$G8=2,'طیف فازی'!$B$3,IF('امتیاز دهی خبرگان'!$G8=3,'طیف فازی'!$B$4,IF('امتیاز دهی خبرگان'!$G8=4,'طیف فازی'!$B$5,'طیف فازی'!$B$6)))))</f>
        <v>0.5</v>
      </c>
      <c r="P8" s="18">
        <f>IF('امتیاز دهی خبرگان'!$G8=0,0,IF('امتیاز دهی خبرگان'!$G8=1,'طیف فازی'!$C$2,IF('امتیاز دهی خبرگان'!$G8=2,'طیف فازی'!$C$3,IF('امتیاز دهی خبرگان'!$G8=3,'طیف فازی'!$C$4,IF('امتیاز دهی خبرگان'!$G8=4,'طیف فازی'!$C$5,'طیف فازی'!$C$6)))))</f>
        <v>0.75</v>
      </c>
      <c r="Q8" s="19">
        <f>IF('امتیاز دهی خبرگان'!$G8=0,0,IF('امتیاز دهی خبرگان'!$G8=1,'طیف فازی'!$D$2,IF('امتیاز دهی خبرگان'!$G8=2,'طیف فازی'!$D$3,IF('امتیاز دهی خبرگان'!$G8=3,'طیف فازی'!$D$4,IF('امتیاز دهی خبرگان'!$G8=4,'طیف فازی'!$D$5,'طیف فازی'!$D$6)))))</f>
        <v>1</v>
      </c>
      <c r="R8" s="17">
        <f>IF('امتیاز دهی خبرگان'!$H8=0,0,IF('امتیاز دهی خبرگان'!$H8=1,'طیف فازی'!$B$2,IF('امتیاز دهی خبرگان'!$H8=2,'طیف فازی'!$B$3,IF('امتیاز دهی خبرگان'!$H8=3,'طیف فازی'!$B$4,IF('امتیاز دهی خبرگان'!$H8=4,'طیف فازی'!$B$5,'طیف فازی'!$B$6)))))</f>
        <v>0.25</v>
      </c>
      <c r="S8" s="18">
        <f>IF('امتیاز دهی خبرگان'!$H8=0,0,IF('امتیاز دهی خبرگان'!$H8=1,'طیف فازی'!$C$2,IF('امتیاز دهی خبرگان'!$H8=2,'طیف فازی'!$C$3,IF('امتیاز دهی خبرگان'!$H8=3,'طیف فازی'!$C$4,IF('امتیاز دهی خبرگان'!$H8=4,'طیف فازی'!$C$5,'طیف فازی'!$C$6)))))</f>
        <v>0.5</v>
      </c>
      <c r="T8" s="19">
        <f>IF('امتیاز دهی خبرگان'!$H8=0,0,IF('امتیاز دهی خبرگان'!$H8=1,'طیف فازی'!$D$2,IF('امتیاز دهی خبرگان'!$H8=2,'طیف فازی'!$D$3,IF('امتیاز دهی خبرگان'!$H8=3,'طیف فازی'!$D$4,IF('امتیاز دهی خبرگان'!$H8=4,'طیف فازی'!$D$5,'طیف فازی'!$D$6)))))</f>
        <v>0.75</v>
      </c>
      <c r="U8" s="17">
        <f>IF('امتیاز دهی خبرگان'!$I8=0,0,IF('امتیاز دهی خبرگان'!$I8=1,'طیف فازی'!$B$2,IF('امتیاز دهی خبرگان'!$I8=2,'طیف فازی'!$B$3,IF('امتیاز دهی خبرگان'!$I8=3,'طیف فازی'!$B$4,IF('امتیاز دهی خبرگان'!$I8=4,'طیف فازی'!$B$5,'طیف فازی'!$B$6)))))</f>
        <v>0.5</v>
      </c>
      <c r="V8" s="18">
        <f>IF('امتیاز دهی خبرگان'!$I8=0,0,IF('امتیاز دهی خبرگان'!$I8=1,'طیف فازی'!$C$2,IF('امتیاز دهی خبرگان'!$I8=2,'طیف فازی'!$C$3,IF('امتیاز دهی خبرگان'!$I8=3,'طیف فازی'!$C$4,IF('امتیاز دهی خبرگان'!$I8=4,'طیف فازی'!$C$5,'طیف فازی'!$C$6)))))</f>
        <v>0.75</v>
      </c>
      <c r="W8" s="19">
        <f>IF('امتیاز دهی خبرگان'!$I8=0,0,IF('امتیاز دهی خبرگان'!$I8=1,'طیف فازی'!$D$2,IF('امتیاز دهی خبرگان'!$I8=2,'طیف فازی'!$D$3,IF('امتیاز دهی خبرگان'!$I8=3,'طیف فازی'!$D$4,IF('امتیاز دهی خبرگان'!$I8=4,'طیف فازی'!$D$5,'طیف فازی'!$D$6)))))</f>
        <v>1</v>
      </c>
      <c r="X8" s="17">
        <f>IF('امتیاز دهی خبرگان'!$J8=0,0,IF('امتیاز دهی خبرگان'!$J8=1,'طیف فازی'!$B$2,IF('امتیاز دهی خبرگان'!$J8=2,'طیف فازی'!$B$3,IF('امتیاز دهی خبرگان'!$J8=3,'طیف فازی'!$B$4,IF('امتیاز دهی خبرگان'!$J8=4,'طیف فازی'!$B$5,'طیف فازی'!$B$6)))))</f>
        <v>0.5</v>
      </c>
      <c r="Y8" s="18">
        <f>IF('امتیاز دهی خبرگان'!$J8=0,0,IF('امتیاز دهی خبرگان'!$J8=1,'طیف فازی'!$C$2,IF('امتیاز دهی خبرگان'!$J8=2,'طیف فازی'!$C$3,IF('امتیاز دهی خبرگان'!$J8=3,'طیف فازی'!$C$4,IF('امتیاز دهی خبرگان'!$J8=4,'طیف فازی'!$C$5,'طیف فازی'!$C$6)))))</f>
        <v>0.75</v>
      </c>
      <c r="Z8" s="19">
        <f>IF('امتیاز دهی خبرگان'!$J8=0,0,IF('امتیاز دهی خبرگان'!$J8=1,'طیف فازی'!$D$2,IF('امتیاز دهی خبرگان'!$J8=2,'طیف فازی'!$D$3,IF('امتیاز دهی خبرگان'!$J8=3,'طیف فازی'!$D$4,IF('امتیاز دهی خبرگان'!$J8=4,'طیف فازی'!$D$5,'طیف فازی'!$D$6)))))</f>
        <v>1</v>
      </c>
      <c r="AA8" s="17">
        <f>IF('امتیاز دهی خبرگان'!$K8=0,0,IF('امتیاز دهی خبرگان'!$K8=1,'طیف فازی'!$B$2,IF('امتیاز دهی خبرگان'!$K8=2,'طیف فازی'!$B$3,IF('امتیاز دهی خبرگان'!$K8=3,'طیف فازی'!$B$4,IF('امتیاز دهی خبرگان'!$K8=4,'طیف فازی'!$B$5,'طیف فازی'!$B$6)))))</f>
        <v>0.5</v>
      </c>
      <c r="AB8" s="18">
        <f>IF('امتیاز دهی خبرگان'!$K8=0,0,IF('امتیاز دهی خبرگان'!$K8=1,'طیف فازی'!$C$2,IF('امتیاز دهی خبرگان'!$K8=2,'طیف فازی'!$C$3,IF('امتیاز دهی خبرگان'!$K8=3,'طیف فازی'!$C$4,IF('امتیاز دهی خبرگان'!$K8=4,'طیف فازی'!$C$5,'طیف فازی'!$C$6)))))</f>
        <v>0.75</v>
      </c>
      <c r="AC8" s="19">
        <f>IF('امتیاز دهی خبرگان'!$K8=0,0,IF('امتیاز دهی خبرگان'!$K8=1,'طیف فازی'!$D$2,IF('امتیاز دهی خبرگان'!$K8=2,'طیف فازی'!$D$3,IF('امتیاز دهی خبرگان'!$K8=3,'طیف فازی'!$D$4,IF('امتیاز دهی خبرگان'!$K8=4,'طیف فازی'!$D$5,'طیف فازی'!$D$6)))))</f>
        <v>1</v>
      </c>
      <c r="AD8" s="17">
        <f>IF('امتیاز دهی خبرگان'!$L8=0,0,IF('امتیاز دهی خبرگان'!$L8=1,'طیف فازی'!$B$2,IF('امتیاز دهی خبرگان'!$L8=2,'طیف فازی'!$B$3,IF('امتیاز دهی خبرگان'!$L8=3,'طیف فازی'!$B$4,IF('امتیاز دهی خبرگان'!$L8=4,'طیف فازی'!$B$5,'طیف فازی'!$B$6)))))</f>
        <v>0.5</v>
      </c>
      <c r="AE8" s="18">
        <f>IF('امتیاز دهی خبرگان'!$L8=0,0,IF('امتیاز دهی خبرگان'!$L8=1,'طیف فازی'!$C$2,IF('امتیاز دهی خبرگان'!$L8=2,'طیف فازی'!$C$3,IF('امتیاز دهی خبرگان'!$L8=3,'طیف فازی'!$C$4,IF('امتیاز دهی خبرگان'!$L8=4,'طیف فازی'!$C$5,'طیف فازی'!$C$6)))))</f>
        <v>0.75</v>
      </c>
      <c r="AF8" s="19">
        <f>IF('امتیاز دهی خبرگان'!$L8=0,0,IF('امتیاز دهی خبرگان'!$L8=1,'طیف فازی'!$D$2,IF('امتیاز دهی خبرگان'!$L8=2,'طیف فازی'!$D$3,IF('امتیاز دهی خبرگان'!$L8=3,'طیف فازی'!$D$4,IF('امتیاز دهی خبرگان'!$L8=4,'طیف فازی'!$D$5,'طیف فازی'!$D$6)))))</f>
        <v>1</v>
      </c>
      <c r="AG8" s="17">
        <f>IF('امتیاز دهی خبرگان'!$M8=0,0,IF('امتیاز دهی خبرگان'!$M8=1,'طیف فازی'!$B$2,IF('امتیاز دهی خبرگان'!$M8=2,'طیف فازی'!$B$3,IF('امتیاز دهی خبرگان'!$M8=3,'طیف فازی'!$B$4,IF('امتیاز دهی خبرگان'!$M8=4,'طیف فازی'!$B$5,'طیف فازی'!$B$6)))))</f>
        <v>0.5</v>
      </c>
      <c r="AH8" s="18">
        <f>IF('امتیاز دهی خبرگان'!$M8=0,0,IF('امتیاز دهی خبرگان'!$M8=1,'طیف فازی'!$C$2,IF('امتیاز دهی خبرگان'!$M8=2,'طیف فازی'!$C$3,IF('امتیاز دهی خبرگان'!$M8=3,'طیف فازی'!$C$4,IF('امتیاز دهی خبرگان'!$M8=4,'طیف فازی'!$C$5,'طیف فازی'!$C$6)))))</f>
        <v>0.75</v>
      </c>
      <c r="AI8" s="19">
        <f>IF('امتیاز دهی خبرگان'!$M8=0,0,IF('امتیاز دهی خبرگان'!$M8=1,'طیف فازی'!$D$2,IF('امتیاز دهی خبرگان'!$M8=2,'طیف فازی'!$D$3,IF('امتیاز دهی خبرگان'!$M8=3,'طیف فازی'!$D$4,IF('امتیاز دهی خبرگان'!$M8=4,'طیف فازی'!$D$5,'طیف فازی'!$D$6)))))</f>
        <v>1</v>
      </c>
      <c r="AJ8" s="17">
        <f>IF('امتیاز دهی خبرگان'!$N8=0,0,IF('امتیاز دهی خبرگان'!$N8=1,'طیف فازی'!$B$2,IF('امتیاز دهی خبرگان'!$N8=2,'طیف فازی'!$B$3,IF('امتیاز دهی خبرگان'!$N8=3,'طیف فازی'!$B$4,IF('امتیاز دهی خبرگان'!$N8=4,'طیف فازی'!$B$5,'طیف فازی'!$B$6)))))</f>
        <v>0.75</v>
      </c>
      <c r="AK8" s="18">
        <f>IF('امتیاز دهی خبرگان'!$N8=0,0,IF('امتیاز دهی خبرگان'!$N8=1,'طیف فازی'!$C$2,IF('امتیاز دهی خبرگان'!$N8=2,'طیف فازی'!$C$3,IF('امتیاز دهی خبرگان'!$N8=3,'طیف فازی'!$C$4,IF('امتیاز دهی خبرگان'!$N8=4,'طیف فازی'!$C$5,'طیف فازی'!$C$6)))))</f>
        <v>1</v>
      </c>
      <c r="AL8" s="19">
        <f>IF('امتیاز دهی خبرگان'!$N8=0,0,IF('امتیاز دهی خبرگان'!$N8=1,'طیف فازی'!$D$2,IF('امتیاز دهی خبرگان'!$N8=2,'طیف فازی'!$D$3,IF('امتیاز دهی خبرگان'!$N8=3,'طیف فازی'!$D$4,IF('امتیاز دهی خبرگان'!$N8=4,'طیف فازی'!$D$5,'طیف فازی'!$D$6)))))</f>
        <v>1</v>
      </c>
      <c r="AM8" s="23">
        <f t="shared" si="1"/>
        <v>6.25</v>
      </c>
      <c r="AN8" s="23">
        <f t="shared" si="2"/>
        <v>9.25</v>
      </c>
      <c r="AO8" s="24">
        <f t="shared" si="3"/>
        <v>11.5</v>
      </c>
      <c r="AP8" s="25">
        <f t="shared" si="4"/>
        <v>0.52083333333333337</v>
      </c>
      <c r="AQ8" s="23">
        <f t="shared" si="5"/>
        <v>0.77083333333333337</v>
      </c>
      <c r="AR8" s="24">
        <f t="shared" si="6"/>
        <v>0.95833333333333337</v>
      </c>
      <c r="AS8" s="24">
        <f t="shared" si="7"/>
        <v>0.75</v>
      </c>
      <c r="AT8" s="24" t="str">
        <f t="shared" si="8"/>
        <v>Pass</v>
      </c>
    </row>
    <row r="9" spans="2:47" ht="23.25" customHeight="1" thickBot="1" x14ac:dyDescent="0.85">
      <c r="B9" s="2">
        <v>7</v>
      </c>
      <c r="C9" s="17">
        <f>IF('امتیاز دهی خبرگان'!$C9=0,0,IF('امتیاز دهی خبرگان'!$C9=1,'طیف فازی'!$B$2,IF('امتیاز دهی خبرگان'!$C9=2,'طیف فازی'!$B$3,IF('امتیاز دهی خبرگان'!$C9=3,'طیف فازی'!$B$4,IF('امتیاز دهی خبرگان'!$C9=4,'طیف فازی'!$B$5,'طیف فازی'!$B$6)))))</f>
        <v>0.5</v>
      </c>
      <c r="D9" s="18">
        <f>IF('امتیاز دهی خبرگان'!$C9=0,0,IF('امتیاز دهی خبرگان'!$C9=1,'طیف فازی'!$C$2,IF('امتیاز دهی خبرگان'!$C9=2,'طیف فازی'!$C$3,IF('امتیاز دهی خبرگان'!$C9=3,'طیف فازی'!$C$4,IF('امتیاز دهی خبرگان'!$C9=4,'طیف فازی'!$C$5,'طیف فازی'!$C$6)))))</f>
        <v>0.75</v>
      </c>
      <c r="E9" s="19">
        <f>IF('امتیاز دهی خبرگان'!$C9=0,0,IF('امتیاز دهی خبرگان'!$C9=1,'طیف فازی'!$D$2,IF('امتیاز دهی خبرگان'!$C9=2,'طیف فازی'!$D$3,IF('امتیاز دهی خبرگان'!$C9=3,'طیف فازی'!$D$4,IF('امتیاز دهی خبرگان'!$C9=4,'طیف فازی'!$D$5,'طیف فازی'!$D$6)))))</f>
        <v>1</v>
      </c>
      <c r="F9" s="20">
        <f>IF('امتیاز دهی خبرگان'!$D9=0,0,IF('امتیاز دهی خبرگان'!$D9=1,'طیف فازی'!$B$2,IF('امتیاز دهی خبرگان'!$D9=2,'طیف فازی'!$B$3,IF('امتیاز دهی خبرگان'!$D9=3,'طیف فازی'!$B$4,IF('امتیاز دهی خبرگان'!$D9=4,'طیف فازی'!$B$5,'طیف فازی'!$B$6)))))</f>
        <v>0.5</v>
      </c>
      <c r="G9" s="21">
        <f>IF('امتیاز دهی خبرگان'!$D9=0,0,IF('امتیاز دهی خبرگان'!$D9=1,'طیف فازی'!$D$2,IF('امتیاز دهی خبرگان'!$D9=2,'طیف فازی'!$C$3,IF('امتیاز دهی خبرگان'!$D9=3,'طیف فازی'!$C$4,IF('امتیاز دهی خبرگان'!$D9=4,'طیف فازی'!$C$5,'طیف فازی'!$C$6)))))</f>
        <v>0.75</v>
      </c>
      <c r="H9" s="22">
        <f>IF('امتیاز دهی خبرگان'!$D9=0,0,IF('امتیاز دهی خبرگان'!$D9=1,'طیف فازی'!$D$2,IF('امتیاز دهی خبرگان'!$D9=2,'طیف فازی'!$D$3,IF('امتیاز دهی خبرگان'!$D9=3,'طیف فازی'!$D$4,IF('امتیاز دهی خبرگان'!$D9=4,'طیف فازی'!$D$5,'طیف فازی'!$D$6)))))</f>
        <v>1</v>
      </c>
      <c r="I9" s="17">
        <f>IF('امتیاز دهی خبرگان'!$E9=0,0,IF('امتیاز دهی خبرگان'!$E9=1,'طیف فازی'!$B$2,IF('امتیاز دهی خبرگان'!$E9=2,'طیف فازی'!$B$3,IF('امتیاز دهی خبرگان'!$E9=3,'طیف فازی'!$B$4,IF('امتیاز دهی خبرگان'!$E9=4,'طیف فازی'!$B$5,'طیف فازی'!$B$6)))))</f>
        <v>0.5</v>
      </c>
      <c r="J9" s="18">
        <f>IF('امتیاز دهی خبرگان'!$E9=0,0,IF('امتیاز دهی خبرگان'!$E9=1,'طیف فازی'!$C$2,IF('امتیاز دهی خبرگان'!$E9=2,'طیف فازی'!$C$3,IF('امتیاز دهی خبرگان'!$E9=3,'طیف فازی'!$C$4,IF('امتیاز دهی خبرگان'!$E9=4,'طیف فازی'!$C$5,'طیف فازی'!$C$6)))))</f>
        <v>0.75</v>
      </c>
      <c r="K9" s="19">
        <f>IF('امتیاز دهی خبرگان'!$E9=0,0,IF('امتیاز دهی خبرگان'!$E9=1,'طیف فازی'!$D$2,IF('امتیاز دهی خبرگان'!$E9=2,'طیف فازی'!$D$3,IF('امتیاز دهی خبرگان'!$E9=3,'طیف فازی'!$D$4,IF('امتیاز دهی خبرگان'!$E9=4,'طیف فازی'!$D$5,'طیف فازی'!$D$6)))))</f>
        <v>1</v>
      </c>
      <c r="L9" s="17">
        <f>IF('امتیاز دهی خبرگان'!$F9=0,0,IF('امتیاز دهی خبرگان'!$F9=1,'طیف فازی'!$B$2,IF('امتیاز دهی خبرگان'!$F9=2,'طیف فازی'!$B$3,IF('امتیاز دهی خبرگان'!$F9=3,'طیف فازی'!$B$4,IF('امتیاز دهی خبرگان'!$F9=4,'طیف فازی'!$B$5,'طیف فازی'!$B$6)))))</f>
        <v>0.75</v>
      </c>
      <c r="M9" s="18">
        <f>IF('امتیاز دهی خبرگان'!$F9=0,0,IF('امتیاز دهی خبرگان'!$F9=1,'طیف فازی'!$C$2,IF('امتیاز دهی خبرگان'!$F9=2,'طیف فازی'!$C$3,IF('امتیاز دهی خبرگان'!$F9=3,'طیف فازی'!$C$4,IF('امتیاز دهی خبرگان'!$F9=4,'طیف فازی'!$C$5,'طیف فازی'!$C$6)))))</f>
        <v>1</v>
      </c>
      <c r="N9" s="19">
        <f>IF('امتیاز دهی خبرگان'!$F9=0,0,IF('امتیاز دهی خبرگان'!$F9=1,'طیف فازی'!$D$2,IF('امتیاز دهی خبرگان'!$F9=2,'طیف فازی'!$D$3,IF('امتیاز دهی خبرگان'!$F9=3,'طیف فازی'!$D$4,IF('امتیاز دهی خبرگان'!$F9=4,'طیف فازی'!$D$5,'طیف فازی'!$D$6)))))</f>
        <v>1</v>
      </c>
      <c r="O9" s="17">
        <f>IF('امتیاز دهی خبرگان'!$G9=0,0,IF('امتیاز دهی خبرگان'!$G9=1,'طیف فازی'!$B$2,IF('امتیاز دهی خبرگان'!$G9=2,'طیف فازی'!$B$3,IF('امتیاز دهی خبرگان'!$G9=3,'طیف فازی'!$B$4,IF('امتیاز دهی خبرگان'!$G9=4,'طیف فازی'!$B$5,'طیف فازی'!$B$6)))))</f>
        <v>0.5</v>
      </c>
      <c r="P9" s="18">
        <f>IF('امتیاز دهی خبرگان'!$G9=0,0,IF('امتیاز دهی خبرگان'!$G9=1,'طیف فازی'!$C$2,IF('امتیاز دهی خبرگان'!$G9=2,'طیف فازی'!$C$3,IF('امتیاز دهی خبرگان'!$G9=3,'طیف فازی'!$C$4,IF('امتیاز دهی خبرگان'!$G9=4,'طیف فازی'!$C$5,'طیف فازی'!$C$6)))))</f>
        <v>0.75</v>
      </c>
      <c r="Q9" s="19">
        <f>IF('امتیاز دهی خبرگان'!$G9=0,0,IF('امتیاز دهی خبرگان'!$G9=1,'طیف فازی'!$D$2,IF('امتیاز دهی خبرگان'!$G9=2,'طیف فازی'!$D$3,IF('امتیاز دهی خبرگان'!$G9=3,'طیف فازی'!$D$4,IF('امتیاز دهی خبرگان'!$G9=4,'طیف فازی'!$D$5,'طیف فازی'!$D$6)))))</f>
        <v>1</v>
      </c>
      <c r="R9" s="17">
        <f>IF('امتیاز دهی خبرگان'!$H9=0,0,IF('امتیاز دهی خبرگان'!$H9=1,'طیف فازی'!$B$2,IF('امتیاز دهی خبرگان'!$H9=2,'طیف فازی'!$B$3,IF('امتیاز دهی خبرگان'!$H9=3,'طیف فازی'!$B$4,IF('امتیاز دهی خبرگان'!$H9=4,'طیف فازی'!$B$5,'طیف فازی'!$B$6)))))</f>
        <v>0.5</v>
      </c>
      <c r="S9" s="18">
        <f>IF('امتیاز دهی خبرگان'!$H9=0,0,IF('امتیاز دهی خبرگان'!$H9=1,'طیف فازی'!$C$2,IF('امتیاز دهی خبرگان'!$H9=2,'طیف فازی'!$C$3,IF('امتیاز دهی خبرگان'!$H9=3,'طیف فازی'!$C$4,IF('امتیاز دهی خبرگان'!$H9=4,'طیف فازی'!$C$5,'طیف فازی'!$C$6)))))</f>
        <v>0.75</v>
      </c>
      <c r="T9" s="19">
        <f>IF('امتیاز دهی خبرگان'!$H9=0,0,IF('امتیاز دهی خبرگان'!$H9=1,'طیف فازی'!$D$2,IF('امتیاز دهی خبرگان'!$H9=2,'طیف فازی'!$D$3,IF('امتیاز دهی خبرگان'!$H9=3,'طیف فازی'!$D$4,IF('امتیاز دهی خبرگان'!$H9=4,'طیف فازی'!$D$5,'طیف فازی'!$D$6)))))</f>
        <v>1</v>
      </c>
      <c r="U9" s="17">
        <f>IF('امتیاز دهی خبرگان'!$I9=0,0,IF('امتیاز دهی خبرگان'!$I9=1,'طیف فازی'!$B$2,IF('امتیاز دهی خبرگان'!$I9=2,'طیف فازی'!$B$3,IF('امتیاز دهی خبرگان'!$I9=3,'طیف فازی'!$B$4,IF('امتیاز دهی خبرگان'!$I9=4,'طیف فازی'!$B$5,'طیف فازی'!$B$6)))))</f>
        <v>0.5</v>
      </c>
      <c r="V9" s="18">
        <f>IF('امتیاز دهی خبرگان'!$I9=0,0,IF('امتیاز دهی خبرگان'!$I9=1,'طیف فازی'!$C$2,IF('امتیاز دهی خبرگان'!$I9=2,'طیف فازی'!$C$3,IF('امتیاز دهی خبرگان'!$I9=3,'طیف فازی'!$C$4,IF('امتیاز دهی خبرگان'!$I9=4,'طیف فازی'!$C$5,'طیف فازی'!$C$6)))))</f>
        <v>0.75</v>
      </c>
      <c r="W9" s="19">
        <f>IF('امتیاز دهی خبرگان'!$I9=0,0,IF('امتیاز دهی خبرگان'!$I9=1,'طیف فازی'!$D$2,IF('امتیاز دهی خبرگان'!$I9=2,'طیف فازی'!$D$3,IF('امتیاز دهی خبرگان'!$I9=3,'طیف فازی'!$D$4,IF('امتیاز دهی خبرگان'!$I9=4,'طیف فازی'!$D$5,'طیف فازی'!$D$6)))))</f>
        <v>1</v>
      </c>
      <c r="X9" s="17">
        <f>IF('امتیاز دهی خبرگان'!$J9=0,0,IF('امتیاز دهی خبرگان'!$J9=1,'طیف فازی'!$B$2,IF('امتیاز دهی خبرگان'!$J9=2,'طیف فازی'!$B$3,IF('امتیاز دهی خبرگان'!$J9=3,'طیف فازی'!$B$4,IF('امتیاز دهی خبرگان'!$J9=4,'طیف فازی'!$B$5,'طیف فازی'!$B$6)))))</f>
        <v>0.5</v>
      </c>
      <c r="Y9" s="18">
        <f>IF('امتیاز دهی خبرگان'!$J9=0,0,IF('امتیاز دهی خبرگان'!$J9=1,'طیف فازی'!$C$2,IF('امتیاز دهی خبرگان'!$J9=2,'طیف فازی'!$C$3,IF('امتیاز دهی خبرگان'!$J9=3,'طیف فازی'!$C$4,IF('امتیاز دهی خبرگان'!$J9=4,'طیف فازی'!$C$5,'طیف فازی'!$C$6)))))</f>
        <v>0.75</v>
      </c>
      <c r="Z9" s="19">
        <f>IF('امتیاز دهی خبرگان'!$J9=0,0,IF('امتیاز دهی خبرگان'!$J9=1,'طیف فازی'!$D$2,IF('امتیاز دهی خبرگان'!$J9=2,'طیف فازی'!$D$3,IF('امتیاز دهی خبرگان'!$J9=3,'طیف فازی'!$D$4,IF('امتیاز دهی خبرگان'!$J9=4,'طیف فازی'!$D$5,'طیف فازی'!$D$6)))))</f>
        <v>1</v>
      </c>
      <c r="AA9" s="17">
        <f>IF('امتیاز دهی خبرگان'!$K9=0,0,IF('امتیاز دهی خبرگان'!$K9=1,'طیف فازی'!$B$2,IF('امتیاز دهی خبرگان'!$K9=2,'طیف فازی'!$B$3,IF('امتیاز دهی خبرگان'!$K9=3,'طیف فازی'!$B$4,IF('امتیاز دهی خبرگان'!$K9=4,'طیف فازی'!$B$5,'طیف فازی'!$B$6)))))</f>
        <v>0.25</v>
      </c>
      <c r="AB9" s="18">
        <f>IF('امتیاز دهی خبرگان'!$K9=0,0,IF('امتیاز دهی خبرگان'!$K9=1,'طیف فازی'!$C$2,IF('امتیاز دهی خبرگان'!$K9=2,'طیف فازی'!$C$3,IF('امتیاز دهی خبرگان'!$K9=3,'طیف فازی'!$C$4,IF('امتیاز دهی خبرگان'!$K9=4,'طیف فازی'!$C$5,'طیف فازی'!$C$6)))))</f>
        <v>0.5</v>
      </c>
      <c r="AC9" s="19">
        <f>IF('امتیاز دهی خبرگان'!$K9=0,0,IF('امتیاز دهی خبرگان'!$K9=1,'طیف فازی'!$D$2,IF('امتیاز دهی خبرگان'!$K9=2,'طیف فازی'!$D$3,IF('امتیاز دهی خبرگان'!$K9=3,'طیف فازی'!$D$4,IF('امتیاز دهی خبرگان'!$K9=4,'طیف فازی'!$D$5,'طیف فازی'!$D$6)))))</f>
        <v>0.75</v>
      </c>
      <c r="AD9" s="17">
        <f>IF('امتیاز دهی خبرگان'!$L9=0,0,IF('امتیاز دهی خبرگان'!$L9=1,'طیف فازی'!$B$2,IF('امتیاز دهی خبرگان'!$L9=2,'طیف فازی'!$B$3,IF('امتیاز دهی خبرگان'!$L9=3,'طیف فازی'!$B$4,IF('امتیاز دهی خبرگان'!$L9=4,'طیف فازی'!$B$5,'طیف فازی'!$B$6)))))</f>
        <v>0.5</v>
      </c>
      <c r="AE9" s="18">
        <f>IF('امتیاز دهی خبرگان'!$L9=0,0,IF('امتیاز دهی خبرگان'!$L9=1,'طیف فازی'!$C$2,IF('امتیاز دهی خبرگان'!$L9=2,'طیف فازی'!$C$3,IF('امتیاز دهی خبرگان'!$L9=3,'طیف فازی'!$C$4,IF('امتیاز دهی خبرگان'!$L9=4,'طیف فازی'!$C$5,'طیف فازی'!$C$6)))))</f>
        <v>0.75</v>
      </c>
      <c r="AF9" s="19">
        <f>IF('امتیاز دهی خبرگان'!$L9=0,0,IF('امتیاز دهی خبرگان'!$L9=1,'طیف فازی'!$D$2,IF('امتیاز دهی خبرگان'!$L9=2,'طیف فازی'!$D$3,IF('امتیاز دهی خبرگان'!$L9=3,'طیف فازی'!$D$4,IF('امتیاز دهی خبرگان'!$L9=4,'طیف فازی'!$D$5,'طیف فازی'!$D$6)))))</f>
        <v>1</v>
      </c>
      <c r="AG9" s="17">
        <f>IF('امتیاز دهی خبرگان'!$M9=0,0,IF('امتیاز دهی خبرگان'!$M9=1,'طیف فازی'!$B$2,IF('امتیاز دهی خبرگان'!$M9=2,'طیف فازی'!$B$3,IF('امتیاز دهی خبرگان'!$M9=3,'طیف فازی'!$B$4,IF('امتیاز دهی خبرگان'!$M9=4,'طیف فازی'!$B$5,'طیف فازی'!$B$6)))))</f>
        <v>0.5</v>
      </c>
      <c r="AH9" s="18">
        <f>IF('امتیاز دهی خبرگان'!$M9=0,0,IF('امتیاز دهی خبرگان'!$M9=1,'طیف فازی'!$C$2,IF('امتیاز دهی خبرگان'!$M9=2,'طیف فازی'!$C$3,IF('امتیاز دهی خبرگان'!$M9=3,'طیف فازی'!$C$4,IF('امتیاز دهی خبرگان'!$M9=4,'طیف فازی'!$C$5,'طیف فازی'!$C$6)))))</f>
        <v>0.75</v>
      </c>
      <c r="AI9" s="19">
        <f>IF('امتیاز دهی خبرگان'!$M9=0,0,IF('امتیاز دهی خبرگان'!$M9=1,'طیف فازی'!$D$2,IF('امتیاز دهی خبرگان'!$M9=2,'طیف فازی'!$D$3,IF('امتیاز دهی خبرگان'!$M9=3,'طیف فازی'!$D$4,IF('امتیاز دهی خبرگان'!$M9=4,'طیف فازی'!$D$5,'طیف فازی'!$D$6)))))</f>
        <v>1</v>
      </c>
      <c r="AJ9" s="17">
        <f>IF('امتیاز دهی خبرگان'!$N9=0,0,IF('امتیاز دهی خبرگان'!$N9=1,'طیف فازی'!$B$2,IF('امتیاز دهی خبرگان'!$N9=2,'طیف فازی'!$B$3,IF('امتیاز دهی خبرگان'!$N9=3,'طیف فازی'!$B$4,IF('امتیاز دهی خبرگان'!$N9=4,'طیف فازی'!$B$5,'طیف فازی'!$B$6)))))</f>
        <v>0.5</v>
      </c>
      <c r="AK9" s="18">
        <f>IF('امتیاز دهی خبرگان'!$N9=0,0,IF('امتیاز دهی خبرگان'!$N9=1,'طیف فازی'!$C$2,IF('امتیاز دهی خبرگان'!$N9=2,'طیف فازی'!$C$3,IF('امتیاز دهی خبرگان'!$N9=3,'طیف فازی'!$C$4,IF('امتیاز دهی خبرگان'!$N9=4,'طیف فازی'!$C$5,'طیف فازی'!$C$6)))))</f>
        <v>0.75</v>
      </c>
      <c r="AL9" s="19">
        <f>IF('امتیاز دهی خبرگان'!$N9=0,0,IF('امتیاز دهی خبرگان'!$N9=1,'طیف فازی'!$D$2,IF('امتیاز دهی خبرگان'!$N9=2,'طیف فازی'!$D$3,IF('امتیاز دهی خبرگان'!$N9=3,'طیف فازی'!$D$4,IF('امتیاز دهی خبرگان'!$N9=4,'طیف فازی'!$D$5,'طیف فازی'!$D$6)))))</f>
        <v>1</v>
      </c>
      <c r="AM9" s="23">
        <f t="shared" si="1"/>
        <v>6</v>
      </c>
      <c r="AN9" s="23">
        <f t="shared" si="2"/>
        <v>9</v>
      </c>
      <c r="AO9" s="24">
        <f t="shared" si="3"/>
        <v>11.75</v>
      </c>
      <c r="AP9" s="25">
        <f t="shared" si="4"/>
        <v>0.5</v>
      </c>
      <c r="AQ9" s="23">
        <f t="shared" si="5"/>
        <v>0.75</v>
      </c>
      <c r="AR9" s="24">
        <f t="shared" si="6"/>
        <v>0.97916666666666663</v>
      </c>
      <c r="AS9" s="24">
        <f t="shared" si="7"/>
        <v>0.74305555555555547</v>
      </c>
      <c r="AT9" s="24" t="str">
        <f t="shared" si="8"/>
        <v>Pass</v>
      </c>
    </row>
    <row r="10" spans="2:47" ht="23.25" customHeight="1" thickBot="1" x14ac:dyDescent="0.85">
      <c r="B10" s="2">
        <v>8</v>
      </c>
      <c r="C10" s="17">
        <f>IF('امتیاز دهی خبرگان'!$C10=0,0,IF('امتیاز دهی خبرگان'!$C10=1,'طیف فازی'!$B$2,IF('امتیاز دهی خبرگان'!$C10=2,'طیف فازی'!$B$3,IF('امتیاز دهی خبرگان'!$C10=3,'طیف فازی'!$B$4,IF('امتیاز دهی خبرگان'!$C10=4,'طیف فازی'!$B$5,'طیف فازی'!$B$6)))))</f>
        <v>0.75</v>
      </c>
      <c r="D10" s="18">
        <f>IF('امتیاز دهی خبرگان'!$C10=0,0,IF('امتیاز دهی خبرگان'!$C10=1,'طیف فازی'!$C$2,IF('امتیاز دهی خبرگان'!$C10=2,'طیف فازی'!$C$3,IF('امتیاز دهی خبرگان'!$C10=3,'طیف فازی'!$C$4,IF('امتیاز دهی خبرگان'!$C10=4,'طیف فازی'!$C$5,'طیف فازی'!$C$6)))))</f>
        <v>1</v>
      </c>
      <c r="E10" s="19">
        <f>IF('امتیاز دهی خبرگان'!$C10=0,0,IF('امتیاز دهی خبرگان'!$C10=1,'طیف فازی'!$D$2,IF('امتیاز دهی خبرگان'!$C10=2,'طیف فازی'!$D$3,IF('امتیاز دهی خبرگان'!$C10=3,'طیف فازی'!$D$4,IF('امتیاز دهی خبرگان'!$C10=4,'طیف فازی'!$D$5,'طیف فازی'!$D$6)))))</f>
        <v>1</v>
      </c>
      <c r="F10" s="20">
        <f>IF('امتیاز دهی خبرگان'!$D10=0,0,IF('امتیاز دهی خبرگان'!$D10=1,'طیف فازی'!$B$2,IF('امتیاز دهی خبرگان'!$D10=2,'طیف فازی'!$B$3,IF('امتیاز دهی خبرگان'!$D10=3,'طیف فازی'!$B$4,IF('امتیاز دهی خبرگان'!$D10=4,'طیف فازی'!$B$5,'طیف فازی'!$B$6)))))</f>
        <v>0.25</v>
      </c>
      <c r="G10" s="21">
        <f>IF('امتیاز دهی خبرگان'!$D10=0,0,IF('امتیاز دهی خبرگان'!$D10=1,'طیف فازی'!$D$2,IF('امتیاز دهی خبرگان'!$D10=2,'طیف فازی'!$C$3,IF('امتیاز دهی خبرگان'!$D10=3,'طیف فازی'!$C$4,IF('امتیاز دهی خبرگان'!$D10=4,'طیف فازی'!$C$5,'طیف فازی'!$C$6)))))</f>
        <v>0.5</v>
      </c>
      <c r="H10" s="22">
        <f>IF('امتیاز دهی خبرگان'!$D10=0,0,IF('امتیاز دهی خبرگان'!$D10=1,'طیف فازی'!$D$2,IF('امتیاز دهی خبرگان'!$D10=2,'طیف فازی'!$D$3,IF('امتیاز دهی خبرگان'!$D10=3,'طیف فازی'!$D$4,IF('امتیاز دهی خبرگان'!$D10=4,'طیف فازی'!$D$5,'طیف فازی'!$D$6)))))</f>
        <v>0.75</v>
      </c>
      <c r="I10" s="17">
        <f>IF('امتیاز دهی خبرگان'!$E10=0,0,IF('امتیاز دهی خبرگان'!$E10=1,'طیف فازی'!$B$2,IF('امتیاز دهی خبرگان'!$E10=2,'طیف فازی'!$B$3,IF('امتیاز دهی خبرگان'!$E10=3,'طیف فازی'!$B$4,IF('امتیاز دهی خبرگان'!$E10=4,'طیف فازی'!$B$5,'طیف فازی'!$B$6)))))</f>
        <v>0.25</v>
      </c>
      <c r="J10" s="18">
        <f>IF('امتیاز دهی خبرگان'!$E10=0,0,IF('امتیاز دهی خبرگان'!$E10=1,'طیف فازی'!$C$2,IF('امتیاز دهی خبرگان'!$E10=2,'طیف فازی'!$C$3,IF('امتیاز دهی خبرگان'!$E10=3,'طیف فازی'!$C$4,IF('امتیاز دهی خبرگان'!$E10=4,'طیف فازی'!$C$5,'طیف فازی'!$C$6)))))</f>
        <v>0.5</v>
      </c>
      <c r="K10" s="19">
        <f>IF('امتیاز دهی خبرگان'!$E10=0,0,IF('امتیاز دهی خبرگان'!$E10=1,'طیف فازی'!$D$2,IF('امتیاز دهی خبرگان'!$E10=2,'طیف فازی'!$D$3,IF('امتیاز دهی خبرگان'!$E10=3,'طیف فازی'!$D$4,IF('امتیاز دهی خبرگان'!$E10=4,'طیف فازی'!$D$5,'طیف فازی'!$D$6)))))</f>
        <v>0.75</v>
      </c>
      <c r="L10" s="17">
        <f>IF('امتیاز دهی خبرگان'!$F10=0,0,IF('امتیاز دهی خبرگان'!$F10=1,'طیف فازی'!$B$2,IF('امتیاز دهی خبرگان'!$F10=2,'طیف فازی'!$B$3,IF('امتیاز دهی خبرگان'!$F10=3,'طیف فازی'!$B$4,IF('امتیاز دهی خبرگان'!$F10=4,'طیف فازی'!$B$5,'طیف فازی'!$B$6)))))</f>
        <v>0.25</v>
      </c>
      <c r="M10" s="18">
        <f>IF('امتیاز دهی خبرگان'!$F10=0,0,IF('امتیاز دهی خبرگان'!$F10=1,'طیف فازی'!$C$2,IF('امتیاز دهی خبرگان'!$F10=2,'طیف فازی'!$C$3,IF('امتیاز دهی خبرگان'!$F10=3,'طیف فازی'!$C$4,IF('امتیاز دهی خبرگان'!$F10=4,'طیف فازی'!$C$5,'طیف فازی'!$C$6)))))</f>
        <v>0.5</v>
      </c>
      <c r="N10" s="19">
        <f>IF('امتیاز دهی خبرگان'!$F10=0,0,IF('امتیاز دهی خبرگان'!$F10=1,'طیف فازی'!$D$2,IF('امتیاز دهی خبرگان'!$F10=2,'طیف فازی'!$D$3,IF('امتیاز دهی خبرگان'!$F10=3,'طیف فازی'!$D$4,IF('امتیاز دهی خبرگان'!$F10=4,'طیف فازی'!$D$5,'طیف فازی'!$D$6)))))</f>
        <v>0.75</v>
      </c>
      <c r="O10" s="17">
        <f>IF('امتیاز دهی خبرگان'!$G10=0,0,IF('امتیاز دهی خبرگان'!$G10=1,'طیف فازی'!$B$2,IF('امتیاز دهی خبرگان'!$G10=2,'طیف فازی'!$B$3,IF('امتیاز دهی خبرگان'!$G10=3,'طیف فازی'!$B$4,IF('امتیاز دهی خبرگان'!$G10=4,'طیف فازی'!$B$5,'طیف فازی'!$B$6)))))</f>
        <v>0.75</v>
      </c>
      <c r="P10" s="18">
        <f>IF('امتیاز دهی خبرگان'!$G10=0,0,IF('امتیاز دهی خبرگان'!$G10=1,'طیف فازی'!$C$2,IF('امتیاز دهی خبرگان'!$G10=2,'طیف فازی'!$C$3,IF('امتیاز دهی خبرگان'!$G10=3,'طیف فازی'!$C$4,IF('امتیاز دهی خبرگان'!$G10=4,'طیف فازی'!$C$5,'طیف فازی'!$C$6)))))</f>
        <v>1</v>
      </c>
      <c r="Q10" s="19">
        <f>IF('امتیاز دهی خبرگان'!$G10=0,0,IF('امتیاز دهی خبرگان'!$G10=1,'طیف فازی'!$D$2,IF('امتیاز دهی خبرگان'!$G10=2,'طیف فازی'!$D$3,IF('امتیاز دهی خبرگان'!$G10=3,'طیف فازی'!$D$4,IF('امتیاز دهی خبرگان'!$G10=4,'طیف فازی'!$D$5,'طیف فازی'!$D$6)))))</f>
        <v>1</v>
      </c>
      <c r="R10" s="17">
        <f>IF('امتیاز دهی خبرگان'!$H10=0,0,IF('امتیاز دهی خبرگان'!$H10=1,'طیف فازی'!$B$2,IF('امتیاز دهی خبرگان'!$H10=2,'طیف فازی'!$B$3,IF('امتیاز دهی خبرگان'!$H10=3,'طیف فازی'!$B$4,IF('امتیاز دهی خبرگان'!$H10=4,'طیف فازی'!$B$5,'طیف فازی'!$B$6)))))</f>
        <v>0.25</v>
      </c>
      <c r="S10" s="18">
        <f>IF('امتیاز دهی خبرگان'!$H10=0,0,IF('امتیاز دهی خبرگان'!$H10=1,'طیف فازی'!$C$2,IF('امتیاز دهی خبرگان'!$H10=2,'طیف فازی'!$C$3,IF('امتیاز دهی خبرگان'!$H10=3,'طیف فازی'!$C$4,IF('امتیاز دهی خبرگان'!$H10=4,'طیف فازی'!$C$5,'طیف فازی'!$C$6)))))</f>
        <v>0.5</v>
      </c>
      <c r="T10" s="19">
        <f>IF('امتیاز دهی خبرگان'!$H10=0,0,IF('امتیاز دهی خبرگان'!$H10=1,'طیف فازی'!$D$2,IF('امتیاز دهی خبرگان'!$H10=2,'طیف فازی'!$D$3,IF('امتیاز دهی خبرگان'!$H10=3,'طیف فازی'!$D$4,IF('امتیاز دهی خبرگان'!$H10=4,'طیف فازی'!$D$5,'طیف فازی'!$D$6)))))</f>
        <v>0.75</v>
      </c>
      <c r="U10" s="17">
        <f>IF('امتیاز دهی خبرگان'!$I10=0,0,IF('امتیاز دهی خبرگان'!$I10=1,'طیف فازی'!$B$2,IF('امتیاز دهی خبرگان'!$I10=2,'طیف فازی'!$B$3,IF('امتیاز دهی خبرگان'!$I10=3,'طیف فازی'!$B$4,IF('امتیاز دهی خبرگان'!$I10=4,'طیف فازی'!$B$5,'طیف فازی'!$B$6)))))</f>
        <v>0.75</v>
      </c>
      <c r="V10" s="18">
        <f>IF('امتیاز دهی خبرگان'!$I10=0,0,IF('امتیاز دهی خبرگان'!$I10=1,'طیف فازی'!$C$2,IF('امتیاز دهی خبرگان'!$I10=2,'طیف فازی'!$C$3,IF('امتیاز دهی خبرگان'!$I10=3,'طیف فازی'!$C$4,IF('امتیاز دهی خبرگان'!$I10=4,'طیف فازی'!$C$5,'طیف فازی'!$C$6)))))</f>
        <v>1</v>
      </c>
      <c r="W10" s="19">
        <f>IF('امتیاز دهی خبرگان'!$I10=0,0,IF('امتیاز دهی خبرگان'!$I10=1,'طیف فازی'!$D$2,IF('امتیاز دهی خبرگان'!$I10=2,'طیف فازی'!$D$3,IF('امتیاز دهی خبرگان'!$I10=3,'طیف فازی'!$D$4,IF('امتیاز دهی خبرگان'!$I10=4,'طیف فازی'!$D$5,'طیف فازی'!$D$6)))))</f>
        <v>1</v>
      </c>
      <c r="X10" s="17">
        <f>IF('امتیاز دهی خبرگان'!$J10=0,0,IF('امتیاز دهی خبرگان'!$J10=1,'طیف فازی'!$B$2,IF('امتیاز دهی خبرگان'!$J10=2,'طیف فازی'!$B$3,IF('امتیاز دهی خبرگان'!$J10=3,'طیف فازی'!$B$4,IF('امتیاز دهی خبرگان'!$J10=4,'طیف فازی'!$B$5,'طیف فازی'!$B$6)))))</f>
        <v>0.75</v>
      </c>
      <c r="Y10" s="18">
        <f>IF('امتیاز دهی خبرگان'!$J10=0,0,IF('امتیاز دهی خبرگان'!$J10=1,'طیف فازی'!$C$2,IF('امتیاز دهی خبرگان'!$J10=2,'طیف فازی'!$C$3,IF('امتیاز دهی خبرگان'!$J10=3,'طیف فازی'!$C$4,IF('امتیاز دهی خبرگان'!$J10=4,'طیف فازی'!$C$5,'طیف فازی'!$C$6)))))</f>
        <v>1</v>
      </c>
      <c r="Z10" s="19">
        <f>IF('امتیاز دهی خبرگان'!$J10=0,0,IF('امتیاز دهی خبرگان'!$J10=1,'طیف فازی'!$D$2,IF('امتیاز دهی خبرگان'!$J10=2,'طیف فازی'!$D$3,IF('امتیاز دهی خبرگان'!$J10=3,'طیف فازی'!$D$4,IF('امتیاز دهی خبرگان'!$J10=4,'طیف فازی'!$D$5,'طیف فازی'!$D$6)))))</f>
        <v>1</v>
      </c>
      <c r="AA10" s="17">
        <f>IF('امتیاز دهی خبرگان'!$K10=0,0,IF('امتیاز دهی خبرگان'!$K10=1,'طیف فازی'!$B$2,IF('امتیاز دهی خبرگان'!$K10=2,'طیف فازی'!$B$3,IF('امتیاز دهی خبرگان'!$K10=3,'طیف فازی'!$B$4,IF('امتیاز دهی خبرگان'!$K10=4,'طیف فازی'!$B$5,'طیف فازی'!$B$6)))))</f>
        <v>0.75</v>
      </c>
      <c r="AB10" s="18">
        <f>IF('امتیاز دهی خبرگان'!$K10=0,0,IF('امتیاز دهی خبرگان'!$K10=1,'طیف فازی'!$C$2,IF('امتیاز دهی خبرگان'!$K10=2,'طیف فازی'!$C$3,IF('امتیاز دهی خبرگان'!$K10=3,'طیف فازی'!$C$4,IF('امتیاز دهی خبرگان'!$K10=4,'طیف فازی'!$C$5,'طیف فازی'!$C$6)))))</f>
        <v>1</v>
      </c>
      <c r="AC10" s="19">
        <f>IF('امتیاز دهی خبرگان'!$K10=0,0,IF('امتیاز دهی خبرگان'!$K10=1,'طیف فازی'!$D$2,IF('امتیاز دهی خبرگان'!$K10=2,'طیف فازی'!$D$3,IF('امتیاز دهی خبرگان'!$K10=3,'طیف فازی'!$D$4,IF('امتیاز دهی خبرگان'!$K10=4,'طیف فازی'!$D$5,'طیف فازی'!$D$6)))))</f>
        <v>1</v>
      </c>
      <c r="AD10" s="17">
        <f>IF('امتیاز دهی خبرگان'!$L10=0,0,IF('امتیاز دهی خبرگان'!$L10=1,'طیف فازی'!$B$2,IF('امتیاز دهی خبرگان'!$L10=2,'طیف فازی'!$B$3,IF('امتیاز دهی خبرگان'!$L10=3,'طیف فازی'!$B$4,IF('امتیاز دهی خبرگان'!$L10=4,'طیف فازی'!$B$5,'طیف فازی'!$B$6)))))</f>
        <v>0.75</v>
      </c>
      <c r="AE10" s="18">
        <f>IF('امتیاز دهی خبرگان'!$L10=0,0,IF('امتیاز دهی خبرگان'!$L10=1,'طیف فازی'!$C$2,IF('امتیاز دهی خبرگان'!$L10=2,'طیف فازی'!$C$3,IF('امتیاز دهی خبرگان'!$L10=3,'طیف فازی'!$C$4,IF('امتیاز دهی خبرگان'!$L10=4,'طیف فازی'!$C$5,'طیف فازی'!$C$6)))))</f>
        <v>1</v>
      </c>
      <c r="AF10" s="19">
        <f>IF('امتیاز دهی خبرگان'!$L10=0,0,IF('امتیاز دهی خبرگان'!$L10=1,'طیف فازی'!$D$2,IF('امتیاز دهی خبرگان'!$L10=2,'طیف فازی'!$D$3,IF('امتیاز دهی خبرگان'!$L10=3,'طیف فازی'!$D$4,IF('امتیاز دهی خبرگان'!$L10=4,'طیف فازی'!$D$5,'طیف فازی'!$D$6)))))</f>
        <v>1</v>
      </c>
      <c r="AG10" s="17">
        <f>IF('امتیاز دهی خبرگان'!$M10=0,0,IF('امتیاز دهی خبرگان'!$M10=1,'طیف فازی'!$B$2,IF('امتیاز دهی خبرگان'!$M10=2,'طیف فازی'!$B$3,IF('امتیاز دهی خبرگان'!$M10=3,'طیف فازی'!$B$4,IF('امتیاز دهی خبرگان'!$M10=4,'طیف فازی'!$B$5,'طیف فازی'!$B$6)))))</f>
        <v>0.5</v>
      </c>
      <c r="AH10" s="18">
        <f>IF('امتیاز دهی خبرگان'!$M10=0,0,IF('امتیاز دهی خبرگان'!$M10=1,'طیف فازی'!$C$2,IF('امتیاز دهی خبرگان'!$M10=2,'طیف فازی'!$C$3,IF('امتیاز دهی خبرگان'!$M10=3,'طیف فازی'!$C$4,IF('امتیاز دهی خبرگان'!$M10=4,'طیف فازی'!$C$5,'طیف فازی'!$C$6)))))</f>
        <v>0.75</v>
      </c>
      <c r="AI10" s="19">
        <f>IF('امتیاز دهی خبرگان'!$M10=0,0,IF('امتیاز دهی خبرگان'!$M10=1,'طیف فازی'!$D$2,IF('امتیاز دهی خبرگان'!$M10=2,'طیف فازی'!$D$3,IF('امتیاز دهی خبرگان'!$M10=3,'طیف فازی'!$D$4,IF('امتیاز دهی خبرگان'!$M10=4,'طیف فازی'!$D$5,'طیف فازی'!$D$6)))))</f>
        <v>1</v>
      </c>
      <c r="AJ10" s="17">
        <f>IF('امتیاز دهی خبرگان'!$N10=0,0,IF('امتیاز دهی خبرگان'!$N10=1,'طیف فازی'!$B$2,IF('امتیاز دهی خبرگان'!$N10=2,'طیف فازی'!$B$3,IF('امتیاز دهی خبرگان'!$N10=3,'طیف فازی'!$B$4,IF('امتیاز دهی خبرگان'!$N10=4,'طیف فازی'!$B$5,'طیف فازی'!$B$6)))))</f>
        <v>0.75</v>
      </c>
      <c r="AK10" s="18">
        <f>IF('امتیاز دهی خبرگان'!$N10=0,0,IF('امتیاز دهی خبرگان'!$N10=1,'طیف فازی'!$C$2,IF('امتیاز دهی خبرگان'!$N10=2,'طیف فازی'!$C$3,IF('امتیاز دهی خبرگان'!$N10=3,'طیف فازی'!$C$4,IF('امتیاز دهی خبرگان'!$N10=4,'طیف فازی'!$C$5,'طیف فازی'!$C$6)))))</f>
        <v>1</v>
      </c>
      <c r="AL10" s="19">
        <f>IF('امتیاز دهی خبرگان'!$N10=0,0,IF('امتیاز دهی خبرگان'!$N10=1,'طیف فازی'!$D$2,IF('امتیاز دهی خبرگان'!$N10=2,'طیف فازی'!$D$3,IF('امتیاز دهی خبرگان'!$N10=3,'طیف فازی'!$D$4,IF('امتیاز دهی خبرگان'!$N10=4,'طیف فازی'!$D$5,'طیف فازی'!$D$6)))))</f>
        <v>1</v>
      </c>
      <c r="AM10" s="23">
        <f t="shared" si="1"/>
        <v>6.75</v>
      </c>
      <c r="AN10" s="23">
        <f t="shared" si="2"/>
        <v>9.75</v>
      </c>
      <c r="AO10" s="24">
        <f t="shared" si="3"/>
        <v>11</v>
      </c>
      <c r="AP10" s="25">
        <f t="shared" si="4"/>
        <v>0.5625</v>
      </c>
      <c r="AQ10" s="23">
        <f t="shared" si="5"/>
        <v>0.8125</v>
      </c>
      <c r="AR10" s="24">
        <f t="shared" si="6"/>
        <v>0.91666666666666663</v>
      </c>
      <c r="AS10" s="24">
        <f t="shared" si="7"/>
        <v>0.76388888888888884</v>
      </c>
      <c r="AT10" s="24" t="str">
        <f t="shared" si="8"/>
        <v>Pass</v>
      </c>
    </row>
    <row r="11" spans="2:47" ht="23.25" customHeight="1" thickBot="1" x14ac:dyDescent="0.85">
      <c r="B11" s="2">
        <v>9</v>
      </c>
      <c r="C11" s="17">
        <f>IF('امتیاز دهی خبرگان'!$C11=0,0,IF('امتیاز دهی خبرگان'!$C11=1,'طیف فازی'!$B$2,IF('امتیاز دهی خبرگان'!$C11=2,'طیف فازی'!$B$3,IF('امتیاز دهی خبرگان'!$C11=3,'طیف فازی'!$B$4,IF('امتیاز دهی خبرگان'!$C11=4,'طیف فازی'!$B$5,'طیف فازی'!$B$6)))))</f>
        <v>0.75</v>
      </c>
      <c r="D11" s="18">
        <f>IF('امتیاز دهی خبرگان'!$C11=0,0,IF('امتیاز دهی خبرگان'!$C11=1,'طیف فازی'!$C$2,IF('امتیاز دهی خبرگان'!$C11=2,'طیف فازی'!$C$3,IF('امتیاز دهی خبرگان'!$C11=3,'طیف فازی'!$C$4,IF('امتیاز دهی خبرگان'!$C11=4,'طیف فازی'!$C$5,'طیف فازی'!$C$6)))))</f>
        <v>1</v>
      </c>
      <c r="E11" s="19">
        <f>IF('امتیاز دهی خبرگان'!$C11=0,0,IF('امتیاز دهی خبرگان'!$C11=1,'طیف فازی'!$D$2,IF('امتیاز دهی خبرگان'!$C11=2,'طیف فازی'!$D$3,IF('امتیاز دهی خبرگان'!$C11=3,'طیف فازی'!$D$4,IF('امتیاز دهی خبرگان'!$C11=4,'طیف فازی'!$D$5,'طیف فازی'!$D$6)))))</f>
        <v>1</v>
      </c>
      <c r="F11" s="20">
        <f>IF('امتیاز دهی خبرگان'!$D11=0,0,IF('امتیاز دهی خبرگان'!$D11=1,'طیف فازی'!$B$2,IF('امتیاز دهی خبرگان'!$D11=2,'طیف فازی'!$B$3,IF('امتیاز دهی خبرگان'!$D11=3,'طیف فازی'!$B$4,IF('امتیاز دهی خبرگان'!$D11=4,'طیف فازی'!$B$5,'طیف فازی'!$B$6)))))</f>
        <v>0.25</v>
      </c>
      <c r="G11" s="21">
        <f>IF('امتیاز دهی خبرگان'!$D11=0,0,IF('امتیاز دهی خبرگان'!$D11=1,'طیف فازی'!$D$2,IF('امتیاز دهی خبرگان'!$D11=2,'طیف فازی'!$C$3,IF('امتیاز دهی خبرگان'!$D11=3,'طیف فازی'!$C$4,IF('امتیاز دهی خبرگان'!$D11=4,'طیف فازی'!$C$5,'طیف فازی'!$C$6)))))</f>
        <v>0.5</v>
      </c>
      <c r="H11" s="22">
        <f>IF('امتیاز دهی خبرگان'!$D11=0,0,IF('امتیاز دهی خبرگان'!$D11=1,'طیف فازی'!$D$2,IF('امتیاز دهی خبرگان'!$D11=2,'طیف فازی'!$D$3,IF('امتیاز دهی خبرگان'!$D11=3,'طیف فازی'!$D$4,IF('امتیاز دهی خبرگان'!$D11=4,'طیف فازی'!$D$5,'طیف فازی'!$D$6)))))</f>
        <v>0.75</v>
      </c>
      <c r="I11" s="17">
        <f>IF('امتیاز دهی خبرگان'!$E11=0,0,IF('امتیاز دهی خبرگان'!$E11=1,'طیف فازی'!$B$2,IF('امتیاز دهی خبرگان'!$E11=2,'طیف فازی'!$B$3,IF('امتیاز دهی خبرگان'!$E11=3,'طیف فازی'!$B$4,IF('امتیاز دهی خبرگان'!$E11=4,'طیف فازی'!$B$5,'طیف فازی'!$B$6)))))</f>
        <v>0.75</v>
      </c>
      <c r="J11" s="18">
        <f>IF('امتیاز دهی خبرگان'!$E11=0,0,IF('امتیاز دهی خبرگان'!$E11=1,'طیف فازی'!$C$2,IF('امتیاز دهی خبرگان'!$E11=2,'طیف فازی'!$C$3,IF('امتیاز دهی خبرگان'!$E11=3,'طیف فازی'!$C$4,IF('امتیاز دهی خبرگان'!$E11=4,'طیف فازی'!$C$5,'طیف فازی'!$C$6)))))</f>
        <v>1</v>
      </c>
      <c r="K11" s="19">
        <f>IF('امتیاز دهی خبرگان'!$E11=0,0,IF('امتیاز دهی خبرگان'!$E11=1,'طیف فازی'!$D$2,IF('امتیاز دهی خبرگان'!$E11=2,'طیف فازی'!$D$3,IF('امتیاز دهی خبرگان'!$E11=3,'طیف فازی'!$D$4,IF('امتیاز دهی خبرگان'!$E11=4,'طیف فازی'!$D$5,'طیف فازی'!$D$6)))))</f>
        <v>1</v>
      </c>
      <c r="L11" s="17">
        <f>IF('امتیاز دهی خبرگان'!$F11=0,0,IF('امتیاز دهی خبرگان'!$F11=1,'طیف فازی'!$B$2,IF('امتیاز دهی خبرگان'!$F11=2,'طیف فازی'!$B$3,IF('امتیاز دهی خبرگان'!$F11=3,'طیف فازی'!$B$4,IF('امتیاز دهی خبرگان'!$F11=4,'طیف فازی'!$B$5,'طیف فازی'!$B$6)))))</f>
        <v>0.5</v>
      </c>
      <c r="M11" s="18">
        <f>IF('امتیاز دهی خبرگان'!$F11=0,0,IF('امتیاز دهی خبرگان'!$F11=1,'طیف فازی'!$C$2,IF('امتیاز دهی خبرگان'!$F11=2,'طیف فازی'!$C$3,IF('امتیاز دهی خبرگان'!$F11=3,'طیف فازی'!$C$4,IF('امتیاز دهی خبرگان'!$F11=4,'طیف فازی'!$C$5,'طیف فازی'!$C$6)))))</f>
        <v>0.75</v>
      </c>
      <c r="N11" s="19">
        <f>IF('امتیاز دهی خبرگان'!$F11=0,0,IF('امتیاز دهی خبرگان'!$F11=1,'طیف فازی'!$D$2,IF('امتیاز دهی خبرگان'!$F11=2,'طیف فازی'!$D$3,IF('امتیاز دهی خبرگان'!$F11=3,'طیف فازی'!$D$4,IF('امتیاز دهی خبرگان'!$F11=4,'طیف فازی'!$D$5,'طیف فازی'!$D$6)))))</f>
        <v>1</v>
      </c>
      <c r="O11" s="17">
        <f>IF('امتیاز دهی خبرگان'!$G11=0,0,IF('امتیاز دهی خبرگان'!$G11=1,'طیف فازی'!$B$2,IF('امتیاز دهی خبرگان'!$G11=2,'طیف فازی'!$B$3,IF('امتیاز دهی خبرگان'!$G11=3,'طیف فازی'!$B$4,IF('امتیاز دهی خبرگان'!$G11=4,'طیف فازی'!$B$5,'طیف فازی'!$B$6)))))</f>
        <v>0.75</v>
      </c>
      <c r="P11" s="18">
        <f>IF('امتیاز دهی خبرگان'!$G11=0,0,IF('امتیاز دهی خبرگان'!$G11=1,'طیف فازی'!$C$2,IF('امتیاز دهی خبرگان'!$G11=2,'طیف فازی'!$C$3,IF('امتیاز دهی خبرگان'!$G11=3,'طیف فازی'!$C$4,IF('امتیاز دهی خبرگان'!$G11=4,'طیف فازی'!$C$5,'طیف فازی'!$C$6)))))</f>
        <v>1</v>
      </c>
      <c r="Q11" s="19">
        <f>IF('امتیاز دهی خبرگان'!$G11=0,0,IF('امتیاز دهی خبرگان'!$G11=1,'طیف فازی'!$D$2,IF('امتیاز دهی خبرگان'!$G11=2,'طیف فازی'!$D$3,IF('امتیاز دهی خبرگان'!$G11=3,'طیف فازی'!$D$4,IF('امتیاز دهی خبرگان'!$G11=4,'طیف فازی'!$D$5,'طیف فازی'!$D$6)))))</f>
        <v>1</v>
      </c>
      <c r="R11" s="17">
        <f>IF('امتیاز دهی خبرگان'!$H11=0,0,IF('امتیاز دهی خبرگان'!$H11=1,'طیف فازی'!$B$2,IF('امتیاز دهی خبرگان'!$H11=2,'طیف فازی'!$B$3,IF('امتیاز دهی خبرگان'!$H11=3,'طیف فازی'!$B$4,IF('امتیاز دهی خبرگان'!$H11=4,'طیف فازی'!$B$5,'طیف فازی'!$B$6)))))</f>
        <v>0.5</v>
      </c>
      <c r="S11" s="18">
        <f>IF('امتیاز دهی خبرگان'!$H11=0,0,IF('امتیاز دهی خبرگان'!$H11=1,'طیف فازی'!$C$2,IF('امتیاز دهی خبرگان'!$H11=2,'طیف فازی'!$C$3,IF('امتیاز دهی خبرگان'!$H11=3,'طیف فازی'!$C$4,IF('امتیاز دهی خبرگان'!$H11=4,'طیف فازی'!$C$5,'طیف فازی'!$C$6)))))</f>
        <v>0.75</v>
      </c>
      <c r="T11" s="19">
        <f>IF('امتیاز دهی خبرگان'!$H11=0,0,IF('امتیاز دهی خبرگان'!$H11=1,'طیف فازی'!$D$2,IF('امتیاز دهی خبرگان'!$H11=2,'طیف فازی'!$D$3,IF('امتیاز دهی خبرگان'!$H11=3,'طیف فازی'!$D$4,IF('امتیاز دهی خبرگان'!$H11=4,'طیف فازی'!$D$5,'طیف فازی'!$D$6)))))</f>
        <v>1</v>
      </c>
      <c r="U11" s="17">
        <f>IF('امتیاز دهی خبرگان'!$I11=0,0,IF('امتیاز دهی خبرگان'!$I11=1,'طیف فازی'!$B$2,IF('امتیاز دهی خبرگان'!$I11=2,'طیف فازی'!$B$3,IF('امتیاز دهی خبرگان'!$I11=3,'طیف فازی'!$B$4,IF('امتیاز دهی خبرگان'!$I11=4,'طیف فازی'!$B$5,'طیف فازی'!$B$6)))))</f>
        <v>0.75</v>
      </c>
      <c r="V11" s="18">
        <f>IF('امتیاز دهی خبرگان'!$I11=0,0,IF('امتیاز دهی خبرگان'!$I11=1,'طیف فازی'!$C$2,IF('امتیاز دهی خبرگان'!$I11=2,'طیف فازی'!$C$3,IF('امتیاز دهی خبرگان'!$I11=3,'طیف فازی'!$C$4,IF('امتیاز دهی خبرگان'!$I11=4,'طیف فازی'!$C$5,'طیف فازی'!$C$6)))))</f>
        <v>1</v>
      </c>
      <c r="W11" s="19">
        <f>IF('امتیاز دهی خبرگان'!$I11=0,0,IF('امتیاز دهی خبرگان'!$I11=1,'طیف فازی'!$D$2,IF('امتیاز دهی خبرگان'!$I11=2,'طیف فازی'!$D$3,IF('امتیاز دهی خبرگان'!$I11=3,'طیف فازی'!$D$4,IF('امتیاز دهی خبرگان'!$I11=4,'طیف فازی'!$D$5,'طیف فازی'!$D$6)))))</f>
        <v>1</v>
      </c>
      <c r="X11" s="17">
        <f>IF('امتیاز دهی خبرگان'!$J11=0,0,IF('امتیاز دهی خبرگان'!$J11=1,'طیف فازی'!$B$2,IF('امتیاز دهی خبرگان'!$J11=2,'طیف فازی'!$B$3,IF('امتیاز دهی خبرگان'!$J11=3,'طیف فازی'!$B$4,IF('امتیاز دهی خبرگان'!$J11=4,'طیف فازی'!$B$5,'طیف فازی'!$B$6)))))</f>
        <v>0.5</v>
      </c>
      <c r="Y11" s="18">
        <f>IF('امتیاز دهی خبرگان'!$J11=0,0,IF('امتیاز دهی خبرگان'!$J11=1,'طیف فازی'!$C$2,IF('امتیاز دهی خبرگان'!$J11=2,'طیف فازی'!$C$3,IF('امتیاز دهی خبرگان'!$J11=3,'طیف فازی'!$C$4,IF('امتیاز دهی خبرگان'!$J11=4,'طیف فازی'!$C$5,'طیف فازی'!$C$6)))))</f>
        <v>0.75</v>
      </c>
      <c r="Z11" s="19">
        <f>IF('امتیاز دهی خبرگان'!$J11=0,0,IF('امتیاز دهی خبرگان'!$J11=1,'طیف فازی'!$D$2,IF('امتیاز دهی خبرگان'!$J11=2,'طیف فازی'!$D$3,IF('امتیاز دهی خبرگان'!$J11=3,'طیف فازی'!$D$4,IF('امتیاز دهی خبرگان'!$J11=4,'طیف فازی'!$D$5,'طیف فازی'!$D$6)))))</f>
        <v>1</v>
      </c>
      <c r="AA11" s="17">
        <f>IF('امتیاز دهی خبرگان'!$K11=0,0,IF('امتیاز دهی خبرگان'!$K11=1,'طیف فازی'!$B$2,IF('امتیاز دهی خبرگان'!$K11=2,'طیف فازی'!$B$3,IF('امتیاز دهی خبرگان'!$K11=3,'طیف فازی'!$B$4,IF('امتیاز دهی خبرگان'!$K11=4,'طیف فازی'!$B$5,'طیف فازی'!$B$6)))))</f>
        <v>0.75</v>
      </c>
      <c r="AB11" s="18">
        <f>IF('امتیاز دهی خبرگان'!$K11=0,0,IF('امتیاز دهی خبرگان'!$K11=1,'طیف فازی'!$C$2,IF('امتیاز دهی خبرگان'!$K11=2,'طیف فازی'!$C$3,IF('امتیاز دهی خبرگان'!$K11=3,'طیف فازی'!$C$4,IF('امتیاز دهی خبرگان'!$K11=4,'طیف فازی'!$C$5,'طیف فازی'!$C$6)))))</f>
        <v>1</v>
      </c>
      <c r="AC11" s="19">
        <f>IF('امتیاز دهی خبرگان'!$K11=0,0,IF('امتیاز دهی خبرگان'!$K11=1,'طیف فازی'!$D$2,IF('امتیاز دهی خبرگان'!$K11=2,'طیف فازی'!$D$3,IF('امتیاز دهی خبرگان'!$K11=3,'طیف فازی'!$D$4,IF('امتیاز دهی خبرگان'!$K11=4,'طیف فازی'!$D$5,'طیف فازی'!$D$6)))))</f>
        <v>1</v>
      </c>
      <c r="AD11" s="17">
        <f>IF('امتیاز دهی خبرگان'!$L11=0,0,IF('امتیاز دهی خبرگان'!$L11=1,'طیف فازی'!$B$2,IF('امتیاز دهی خبرگان'!$L11=2,'طیف فازی'!$B$3,IF('امتیاز دهی خبرگان'!$L11=3,'طیف فازی'!$B$4,IF('امتیاز دهی خبرگان'!$L11=4,'طیف فازی'!$B$5,'طیف فازی'!$B$6)))))</f>
        <v>0.75</v>
      </c>
      <c r="AE11" s="18">
        <f>IF('امتیاز دهی خبرگان'!$L11=0,0,IF('امتیاز دهی خبرگان'!$L11=1,'طیف فازی'!$C$2,IF('امتیاز دهی خبرگان'!$L11=2,'طیف فازی'!$C$3,IF('امتیاز دهی خبرگان'!$L11=3,'طیف فازی'!$C$4,IF('امتیاز دهی خبرگان'!$L11=4,'طیف فازی'!$C$5,'طیف فازی'!$C$6)))))</f>
        <v>1</v>
      </c>
      <c r="AF11" s="19">
        <f>IF('امتیاز دهی خبرگان'!$L11=0,0,IF('امتیاز دهی خبرگان'!$L11=1,'طیف فازی'!$D$2,IF('امتیاز دهی خبرگان'!$L11=2,'طیف فازی'!$D$3,IF('امتیاز دهی خبرگان'!$L11=3,'طیف فازی'!$D$4,IF('امتیاز دهی خبرگان'!$L11=4,'طیف فازی'!$D$5,'طیف فازی'!$D$6)))))</f>
        <v>1</v>
      </c>
      <c r="AG11" s="17">
        <f>IF('امتیاز دهی خبرگان'!$M11=0,0,IF('امتیاز دهی خبرگان'!$M11=1,'طیف فازی'!$B$2,IF('امتیاز دهی خبرگان'!$M11=2,'طیف فازی'!$B$3,IF('امتیاز دهی خبرگان'!$M11=3,'طیف فازی'!$B$4,IF('امتیاز دهی خبرگان'!$M11=4,'طیف فازی'!$B$5,'طیف فازی'!$B$6)))))</f>
        <v>0.5</v>
      </c>
      <c r="AH11" s="18">
        <f>IF('امتیاز دهی خبرگان'!$M11=0,0,IF('امتیاز دهی خبرگان'!$M11=1,'طیف فازی'!$C$2,IF('امتیاز دهی خبرگان'!$M11=2,'طیف فازی'!$C$3,IF('امتیاز دهی خبرگان'!$M11=3,'طیف فازی'!$C$4,IF('امتیاز دهی خبرگان'!$M11=4,'طیف فازی'!$C$5,'طیف فازی'!$C$6)))))</f>
        <v>0.75</v>
      </c>
      <c r="AI11" s="19">
        <f>IF('امتیاز دهی خبرگان'!$M11=0,0,IF('امتیاز دهی خبرگان'!$M11=1,'طیف فازی'!$D$2,IF('امتیاز دهی خبرگان'!$M11=2,'طیف فازی'!$D$3,IF('امتیاز دهی خبرگان'!$M11=3,'طیف فازی'!$D$4,IF('امتیاز دهی خبرگان'!$M11=4,'طیف فازی'!$D$5,'طیف فازی'!$D$6)))))</f>
        <v>1</v>
      </c>
      <c r="AJ11" s="17">
        <f>IF('امتیاز دهی خبرگان'!$N11=0,0,IF('امتیاز دهی خبرگان'!$N11=1,'طیف فازی'!$B$2,IF('امتیاز دهی خبرگان'!$N11=2,'طیف فازی'!$B$3,IF('امتیاز دهی خبرگان'!$N11=3,'طیف فازی'!$B$4,IF('امتیاز دهی خبرگان'!$N11=4,'طیف فازی'!$B$5,'طیف فازی'!$B$6)))))</f>
        <v>0.5</v>
      </c>
      <c r="AK11" s="18">
        <f>IF('امتیاز دهی خبرگان'!$N11=0,0,IF('امتیاز دهی خبرگان'!$N11=1,'طیف فازی'!$C$2,IF('امتیاز دهی خبرگان'!$N11=2,'طیف فازی'!$C$3,IF('امتیاز دهی خبرگان'!$N11=3,'طیف فازی'!$C$4,IF('امتیاز دهی خبرگان'!$N11=4,'طیف فازی'!$C$5,'طیف فازی'!$C$6)))))</f>
        <v>0.75</v>
      </c>
      <c r="AL11" s="19">
        <f>IF('امتیاز دهی خبرگان'!$N11=0,0,IF('امتیاز دهی خبرگان'!$N11=1,'طیف فازی'!$D$2,IF('امتیاز دهی خبرگان'!$N11=2,'طیف فازی'!$D$3,IF('امتیاز دهی خبرگان'!$N11=3,'طیف فازی'!$D$4,IF('امتیاز دهی خبرگان'!$N11=4,'طیف فازی'!$D$5,'طیف فازی'!$D$6)))))</f>
        <v>1</v>
      </c>
      <c r="AM11" s="23">
        <f t="shared" si="1"/>
        <v>7.25</v>
      </c>
      <c r="AN11" s="23">
        <f t="shared" si="2"/>
        <v>10.25</v>
      </c>
      <c r="AO11" s="24">
        <f t="shared" si="3"/>
        <v>11.75</v>
      </c>
      <c r="AP11" s="25">
        <f t="shared" si="4"/>
        <v>0.60416666666666663</v>
      </c>
      <c r="AQ11" s="23">
        <f t="shared" si="5"/>
        <v>0.85416666666666663</v>
      </c>
      <c r="AR11" s="24">
        <f t="shared" si="6"/>
        <v>0.97916666666666663</v>
      </c>
      <c r="AS11" s="24">
        <f t="shared" si="7"/>
        <v>0.8125</v>
      </c>
      <c r="AT11" s="24" t="str">
        <f t="shared" si="8"/>
        <v>Pass</v>
      </c>
    </row>
    <row r="12" spans="2:47" ht="23.25" customHeight="1" thickBot="1" x14ac:dyDescent="0.85">
      <c r="B12" s="2">
        <v>10</v>
      </c>
      <c r="C12" s="17">
        <f>IF('امتیاز دهی خبرگان'!$C12=0,0,IF('امتیاز دهی خبرگان'!$C12=1,'طیف فازی'!$B$2,IF('امتیاز دهی خبرگان'!$C12=2,'طیف فازی'!$B$3,IF('امتیاز دهی خبرگان'!$C12=3,'طیف فازی'!$B$4,IF('امتیاز دهی خبرگان'!$C12=4,'طیف فازی'!$B$5,'طیف فازی'!$B$6)))))</f>
        <v>0.5</v>
      </c>
      <c r="D12" s="18">
        <f>IF('امتیاز دهی خبرگان'!$C12=0,0,IF('امتیاز دهی خبرگان'!$C12=1,'طیف فازی'!$C$2,IF('امتیاز دهی خبرگان'!$C12=2,'طیف فازی'!$C$3,IF('امتیاز دهی خبرگان'!$C12=3,'طیف فازی'!$C$4,IF('امتیاز دهی خبرگان'!$C12=4,'طیف فازی'!$C$5,'طیف فازی'!$C$6)))))</f>
        <v>0.75</v>
      </c>
      <c r="E12" s="19">
        <f>IF('امتیاز دهی خبرگان'!$C12=0,0,IF('امتیاز دهی خبرگان'!$C12=1,'طیف فازی'!$D$2,IF('امتیاز دهی خبرگان'!$C12=2,'طیف فازی'!$D$3,IF('امتیاز دهی خبرگان'!$C12=3,'طیف فازی'!$D$4,IF('امتیاز دهی خبرگان'!$C12=4,'طیف فازی'!$D$5,'طیف فازی'!$D$6)))))</f>
        <v>1</v>
      </c>
      <c r="F12" s="20">
        <f>IF('امتیاز دهی خبرگان'!$D12=0,0,IF('امتیاز دهی خبرگان'!$D12=1,'طیف فازی'!$B$2,IF('امتیاز دهی خبرگان'!$D12=2,'طیف فازی'!$B$3,IF('امتیاز دهی خبرگان'!$D12=3,'طیف فازی'!$B$4,IF('امتیاز دهی خبرگان'!$D12=4,'طیف فازی'!$B$5,'طیف فازی'!$B$6)))))</f>
        <v>0.25</v>
      </c>
      <c r="G12" s="21">
        <f>IF('امتیاز دهی خبرگان'!$D12=0,0,IF('امتیاز دهی خبرگان'!$D12=1,'طیف فازی'!$D$2,IF('امتیاز دهی خبرگان'!$D12=2,'طیف فازی'!$C$3,IF('امتیاز دهی خبرگان'!$D12=3,'طیف فازی'!$C$4,IF('امتیاز دهی خبرگان'!$D12=4,'طیف فازی'!$C$5,'طیف فازی'!$C$6)))))</f>
        <v>0.5</v>
      </c>
      <c r="H12" s="22">
        <f>IF('امتیاز دهی خبرگان'!$D12=0,0,IF('امتیاز دهی خبرگان'!$D12=1,'طیف فازی'!$D$2,IF('امتیاز دهی خبرگان'!$D12=2,'طیف فازی'!$D$3,IF('امتیاز دهی خبرگان'!$D12=3,'طیف فازی'!$D$4,IF('امتیاز دهی خبرگان'!$D12=4,'طیف فازی'!$D$5,'طیف فازی'!$D$6)))))</f>
        <v>0.75</v>
      </c>
      <c r="I12" s="17">
        <f>IF('امتیاز دهی خبرگان'!$E12=0,0,IF('امتیاز دهی خبرگان'!$E12=1,'طیف فازی'!$B$2,IF('امتیاز دهی خبرگان'!$E12=2,'طیف فازی'!$B$3,IF('امتیاز دهی خبرگان'!$E12=3,'طیف فازی'!$B$4,IF('امتیاز دهی خبرگان'!$E12=4,'طیف فازی'!$B$5,'طیف فازی'!$B$6)))))</f>
        <v>0.75</v>
      </c>
      <c r="J12" s="18">
        <f>IF('امتیاز دهی خبرگان'!$E12=0,0,IF('امتیاز دهی خبرگان'!$E12=1,'طیف فازی'!$C$2,IF('امتیاز دهی خبرگان'!$E12=2,'طیف فازی'!$C$3,IF('امتیاز دهی خبرگان'!$E12=3,'طیف فازی'!$C$4,IF('امتیاز دهی خبرگان'!$E12=4,'طیف فازی'!$C$5,'طیف فازی'!$C$6)))))</f>
        <v>1</v>
      </c>
      <c r="K12" s="19">
        <f>IF('امتیاز دهی خبرگان'!$E12=0,0,IF('امتیاز دهی خبرگان'!$E12=1,'طیف فازی'!$D$2,IF('امتیاز دهی خبرگان'!$E12=2,'طیف فازی'!$D$3,IF('امتیاز دهی خبرگان'!$E12=3,'طیف فازی'!$D$4,IF('امتیاز دهی خبرگان'!$E12=4,'طیف فازی'!$D$5,'طیف فازی'!$D$6)))))</f>
        <v>1</v>
      </c>
      <c r="L12" s="17">
        <f>IF('امتیاز دهی خبرگان'!$F12=0,0,IF('امتیاز دهی خبرگان'!$F12=1,'طیف فازی'!$B$2,IF('امتیاز دهی خبرگان'!$F12=2,'طیف فازی'!$B$3,IF('امتیاز دهی خبرگان'!$F12=3,'طیف فازی'!$B$4,IF('امتیاز دهی خبرگان'!$F12=4,'طیف فازی'!$B$5,'طیف فازی'!$B$6)))))</f>
        <v>0.5</v>
      </c>
      <c r="M12" s="18">
        <f>IF('امتیاز دهی خبرگان'!$F12=0,0,IF('امتیاز دهی خبرگان'!$F12=1,'طیف فازی'!$C$2,IF('امتیاز دهی خبرگان'!$F12=2,'طیف فازی'!$C$3,IF('امتیاز دهی خبرگان'!$F12=3,'طیف فازی'!$C$4,IF('امتیاز دهی خبرگان'!$F12=4,'طیف فازی'!$C$5,'طیف فازی'!$C$6)))))</f>
        <v>0.75</v>
      </c>
      <c r="N12" s="19">
        <f>IF('امتیاز دهی خبرگان'!$F12=0,0,IF('امتیاز دهی خبرگان'!$F12=1,'طیف فازی'!$D$2,IF('امتیاز دهی خبرگان'!$F12=2,'طیف فازی'!$D$3,IF('امتیاز دهی خبرگان'!$F12=3,'طیف فازی'!$D$4,IF('امتیاز دهی خبرگان'!$F12=4,'طیف فازی'!$D$5,'طیف فازی'!$D$6)))))</f>
        <v>1</v>
      </c>
      <c r="O12" s="17">
        <f>IF('امتیاز دهی خبرگان'!$G12=0,0,IF('امتیاز دهی خبرگان'!$G12=1,'طیف فازی'!$B$2,IF('امتیاز دهی خبرگان'!$G12=2,'طیف فازی'!$B$3,IF('امتیاز دهی خبرگان'!$G12=3,'طیف فازی'!$B$4,IF('امتیاز دهی خبرگان'!$G12=4,'طیف فازی'!$B$5,'طیف فازی'!$B$6)))))</f>
        <v>0.5</v>
      </c>
      <c r="P12" s="18">
        <f>IF('امتیاز دهی خبرگان'!$G12=0,0,IF('امتیاز دهی خبرگان'!$G12=1,'طیف فازی'!$C$2,IF('امتیاز دهی خبرگان'!$G12=2,'طیف فازی'!$C$3,IF('امتیاز دهی خبرگان'!$G12=3,'طیف فازی'!$C$4,IF('امتیاز دهی خبرگان'!$G12=4,'طیف فازی'!$C$5,'طیف فازی'!$C$6)))))</f>
        <v>0.75</v>
      </c>
      <c r="Q12" s="19">
        <f>IF('امتیاز دهی خبرگان'!$G12=0,0,IF('امتیاز دهی خبرگان'!$G12=1,'طیف فازی'!$D$2,IF('امتیاز دهی خبرگان'!$G12=2,'طیف فازی'!$D$3,IF('امتیاز دهی خبرگان'!$G12=3,'طیف فازی'!$D$4,IF('امتیاز دهی خبرگان'!$G12=4,'طیف فازی'!$D$5,'طیف فازی'!$D$6)))))</f>
        <v>1</v>
      </c>
      <c r="R12" s="17">
        <f>IF('امتیاز دهی خبرگان'!$H12=0,0,IF('امتیاز دهی خبرگان'!$H12=1,'طیف فازی'!$B$2,IF('امتیاز دهی خبرگان'!$H12=2,'طیف فازی'!$B$3,IF('امتیاز دهی خبرگان'!$H12=3,'طیف فازی'!$B$4,IF('امتیاز دهی خبرگان'!$H12=4,'طیف فازی'!$B$5,'طیف فازی'!$B$6)))))</f>
        <v>0.5</v>
      </c>
      <c r="S12" s="18">
        <f>IF('امتیاز دهی خبرگان'!$H12=0,0,IF('امتیاز دهی خبرگان'!$H12=1,'طیف فازی'!$C$2,IF('امتیاز دهی خبرگان'!$H12=2,'طیف فازی'!$C$3,IF('امتیاز دهی خبرگان'!$H12=3,'طیف فازی'!$C$4,IF('امتیاز دهی خبرگان'!$H12=4,'طیف فازی'!$C$5,'طیف فازی'!$C$6)))))</f>
        <v>0.75</v>
      </c>
      <c r="T12" s="19">
        <f>IF('امتیاز دهی خبرگان'!$H12=0,0,IF('امتیاز دهی خبرگان'!$H12=1,'طیف فازی'!$D$2,IF('امتیاز دهی خبرگان'!$H12=2,'طیف فازی'!$D$3,IF('امتیاز دهی خبرگان'!$H12=3,'طیف فازی'!$D$4,IF('امتیاز دهی خبرگان'!$H12=4,'طیف فازی'!$D$5,'طیف فازی'!$D$6)))))</f>
        <v>1</v>
      </c>
      <c r="U12" s="17">
        <f>IF('امتیاز دهی خبرگان'!$I12=0,0,IF('امتیاز دهی خبرگان'!$I12=1,'طیف فازی'!$B$2,IF('امتیاز دهی خبرگان'!$I12=2,'طیف فازی'!$B$3,IF('امتیاز دهی خبرگان'!$I12=3,'طیف فازی'!$B$4,IF('امتیاز دهی خبرگان'!$I12=4,'طیف فازی'!$B$5,'طیف فازی'!$B$6)))))</f>
        <v>0.5</v>
      </c>
      <c r="V12" s="18">
        <f>IF('امتیاز دهی خبرگان'!$I12=0,0,IF('امتیاز دهی خبرگان'!$I12=1,'طیف فازی'!$C$2,IF('امتیاز دهی خبرگان'!$I12=2,'طیف فازی'!$C$3,IF('امتیاز دهی خبرگان'!$I12=3,'طیف فازی'!$C$4,IF('امتیاز دهی خبرگان'!$I12=4,'طیف فازی'!$C$5,'طیف فازی'!$C$6)))))</f>
        <v>0.75</v>
      </c>
      <c r="W12" s="19">
        <f>IF('امتیاز دهی خبرگان'!$I12=0,0,IF('امتیاز دهی خبرگان'!$I12=1,'طیف فازی'!$D$2,IF('امتیاز دهی خبرگان'!$I12=2,'طیف فازی'!$D$3,IF('امتیاز دهی خبرگان'!$I12=3,'طیف فازی'!$D$4,IF('امتیاز دهی خبرگان'!$I12=4,'طیف فازی'!$D$5,'طیف فازی'!$D$6)))))</f>
        <v>1</v>
      </c>
      <c r="X12" s="17">
        <f>IF('امتیاز دهی خبرگان'!$J12=0,0,IF('امتیاز دهی خبرگان'!$J12=1,'طیف فازی'!$B$2,IF('امتیاز دهی خبرگان'!$J12=2,'طیف فازی'!$B$3,IF('امتیاز دهی خبرگان'!$J12=3,'طیف فازی'!$B$4,IF('امتیاز دهی خبرگان'!$J12=4,'طیف فازی'!$B$5,'طیف فازی'!$B$6)))))</f>
        <v>0.5</v>
      </c>
      <c r="Y12" s="18">
        <f>IF('امتیاز دهی خبرگان'!$J12=0,0,IF('امتیاز دهی خبرگان'!$J12=1,'طیف فازی'!$C$2,IF('امتیاز دهی خبرگان'!$J12=2,'طیف فازی'!$C$3,IF('امتیاز دهی خبرگان'!$J12=3,'طیف فازی'!$C$4,IF('امتیاز دهی خبرگان'!$J12=4,'طیف فازی'!$C$5,'طیف فازی'!$C$6)))))</f>
        <v>0.75</v>
      </c>
      <c r="Z12" s="19">
        <f>IF('امتیاز دهی خبرگان'!$J12=0,0,IF('امتیاز دهی خبرگان'!$J12=1,'طیف فازی'!$D$2,IF('امتیاز دهی خبرگان'!$J12=2,'طیف فازی'!$D$3,IF('امتیاز دهی خبرگان'!$J12=3,'طیف فازی'!$D$4,IF('امتیاز دهی خبرگان'!$J12=4,'طیف فازی'!$D$5,'طیف فازی'!$D$6)))))</f>
        <v>1</v>
      </c>
      <c r="AA12" s="17">
        <f>IF('امتیاز دهی خبرگان'!$K12=0,0,IF('امتیاز دهی خبرگان'!$K12=1,'طیف فازی'!$B$2,IF('امتیاز دهی خبرگان'!$K12=2,'طیف فازی'!$B$3,IF('امتیاز دهی خبرگان'!$K12=3,'طیف فازی'!$B$4,IF('امتیاز دهی خبرگان'!$K12=4,'طیف فازی'!$B$5,'طیف فازی'!$B$6)))))</f>
        <v>0.5</v>
      </c>
      <c r="AB12" s="18">
        <f>IF('امتیاز دهی خبرگان'!$K12=0,0,IF('امتیاز دهی خبرگان'!$K12=1,'طیف فازی'!$C$2,IF('امتیاز دهی خبرگان'!$K12=2,'طیف فازی'!$C$3,IF('امتیاز دهی خبرگان'!$K12=3,'طیف فازی'!$C$4,IF('امتیاز دهی خبرگان'!$K12=4,'طیف فازی'!$C$5,'طیف فازی'!$C$6)))))</f>
        <v>0.75</v>
      </c>
      <c r="AC12" s="19">
        <f>IF('امتیاز دهی خبرگان'!$K12=0,0,IF('امتیاز دهی خبرگان'!$K12=1,'طیف فازی'!$D$2,IF('امتیاز دهی خبرگان'!$K12=2,'طیف فازی'!$D$3,IF('امتیاز دهی خبرگان'!$K12=3,'طیف فازی'!$D$4,IF('امتیاز دهی خبرگان'!$K12=4,'طیف فازی'!$D$5,'طیف فازی'!$D$6)))))</f>
        <v>1</v>
      </c>
      <c r="AD12" s="17">
        <f>IF('امتیاز دهی خبرگان'!$L12=0,0,IF('امتیاز دهی خبرگان'!$L12=1,'طیف فازی'!$B$2,IF('امتیاز دهی خبرگان'!$L12=2,'طیف فازی'!$B$3,IF('امتیاز دهی خبرگان'!$L12=3,'طیف فازی'!$B$4,IF('امتیاز دهی خبرگان'!$L12=4,'طیف فازی'!$B$5,'طیف فازی'!$B$6)))))</f>
        <v>0.5</v>
      </c>
      <c r="AE12" s="18">
        <f>IF('امتیاز دهی خبرگان'!$L12=0,0,IF('امتیاز دهی خبرگان'!$L12=1,'طیف فازی'!$C$2,IF('امتیاز دهی خبرگان'!$L12=2,'طیف فازی'!$C$3,IF('امتیاز دهی خبرگان'!$L12=3,'طیف فازی'!$C$4,IF('امتیاز دهی خبرگان'!$L12=4,'طیف فازی'!$C$5,'طیف فازی'!$C$6)))))</f>
        <v>0.75</v>
      </c>
      <c r="AF12" s="19">
        <f>IF('امتیاز دهی خبرگان'!$L12=0,0,IF('امتیاز دهی خبرگان'!$L12=1,'طیف فازی'!$D$2,IF('امتیاز دهی خبرگان'!$L12=2,'طیف فازی'!$D$3,IF('امتیاز دهی خبرگان'!$L12=3,'طیف فازی'!$D$4,IF('امتیاز دهی خبرگان'!$L12=4,'طیف فازی'!$D$5,'طیف فازی'!$D$6)))))</f>
        <v>1</v>
      </c>
      <c r="AG12" s="17">
        <f>IF('امتیاز دهی خبرگان'!$M12=0,0,IF('امتیاز دهی خبرگان'!$M12=1,'طیف فازی'!$B$2,IF('امتیاز دهی خبرگان'!$M12=2,'طیف فازی'!$B$3,IF('امتیاز دهی خبرگان'!$M12=3,'طیف فازی'!$B$4,IF('امتیاز دهی خبرگان'!$M12=4,'طیف فازی'!$B$5,'طیف فازی'!$B$6)))))</f>
        <v>0.5</v>
      </c>
      <c r="AH12" s="18">
        <f>IF('امتیاز دهی خبرگان'!$M12=0,0,IF('امتیاز دهی خبرگان'!$M12=1,'طیف فازی'!$C$2,IF('امتیاز دهی خبرگان'!$M12=2,'طیف فازی'!$C$3,IF('امتیاز دهی خبرگان'!$M12=3,'طیف فازی'!$C$4,IF('امتیاز دهی خبرگان'!$M12=4,'طیف فازی'!$C$5,'طیف فازی'!$C$6)))))</f>
        <v>0.75</v>
      </c>
      <c r="AI12" s="19">
        <f>IF('امتیاز دهی خبرگان'!$M12=0,0,IF('امتیاز دهی خبرگان'!$M12=1,'طیف فازی'!$D$2,IF('امتیاز دهی خبرگان'!$M12=2,'طیف فازی'!$D$3,IF('امتیاز دهی خبرگان'!$M12=3,'طیف فازی'!$D$4,IF('امتیاز دهی خبرگان'!$M12=4,'طیف فازی'!$D$5,'طیف فازی'!$D$6)))))</f>
        <v>1</v>
      </c>
      <c r="AJ12" s="17">
        <f>IF('امتیاز دهی خبرگان'!$N12=0,0,IF('امتیاز دهی خبرگان'!$N12=1,'طیف فازی'!$B$2,IF('امتیاز دهی خبرگان'!$N12=2,'طیف فازی'!$B$3,IF('امتیاز دهی خبرگان'!$N12=3,'طیف فازی'!$B$4,IF('امتیاز دهی خبرگان'!$N12=4,'طیف فازی'!$B$5,'طیف فازی'!$B$6)))))</f>
        <v>0.5</v>
      </c>
      <c r="AK12" s="18">
        <f>IF('امتیاز دهی خبرگان'!$N12=0,0,IF('امتیاز دهی خبرگان'!$N12=1,'طیف فازی'!$C$2,IF('امتیاز دهی خبرگان'!$N12=2,'طیف فازی'!$C$3,IF('امتیاز دهی خبرگان'!$N12=3,'طیف فازی'!$C$4,IF('امتیاز دهی خبرگان'!$N12=4,'طیف فازی'!$C$5,'طیف فازی'!$C$6)))))</f>
        <v>0.75</v>
      </c>
      <c r="AL12" s="19">
        <f>IF('امتیاز دهی خبرگان'!$N12=0,0,IF('امتیاز دهی خبرگان'!$N12=1,'طیف فازی'!$D$2,IF('امتیاز دهی خبرگان'!$N12=2,'طیف فازی'!$D$3,IF('امتیاز دهی خبرگان'!$N12=3,'طیف فازی'!$D$4,IF('امتیاز دهی خبرگان'!$N12=4,'طیف فازی'!$D$5,'طیف فازی'!$D$6)))))</f>
        <v>1</v>
      </c>
      <c r="AM12" s="23">
        <f t="shared" si="1"/>
        <v>6</v>
      </c>
      <c r="AN12" s="23">
        <f t="shared" si="2"/>
        <v>9</v>
      </c>
      <c r="AO12" s="24">
        <f t="shared" si="3"/>
        <v>11.75</v>
      </c>
      <c r="AP12" s="25">
        <f t="shared" si="4"/>
        <v>0.5</v>
      </c>
      <c r="AQ12" s="23">
        <f t="shared" si="5"/>
        <v>0.75</v>
      </c>
      <c r="AR12" s="24">
        <f t="shared" si="6"/>
        <v>0.97916666666666663</v>
      </c>
      <c r="AS12" s="24">
        <f t="shared" si="7"/>
        <v>0.74305555555555547</v>
      </c>
      <c r="AT12" s="24" t="str">
        <f t="shared" si="8"/>
        <v>Pass</v>
      </c>
    </row>
    <row r="13" spans="2:47" ht="23.25" customHeight="1" thickBot="1" x14ac:dyDescent="0.85">
      <c r="B13" s="2">
        <v>11</v>
      </c>
      <c r="C13" s="17">
        <f>IF('امتیاز دهی خبرگان'!$C13=0,0,IF('امتیاز دهی خبرگان'!$C13=1,'طیف فازی'!$B$2,IF('امتیاز دهی خبرگان'!$C13=2,'طیف فازی'!$B$3,IF('امتیاز دهی خبرگان'!$C13=3,'طیف فازی'!$B$4,IF('امتیاز دهی خبرگان'!$C13=4,'طیف فازی'!$B$5,'طیف فازی'!$B$6)))))</f>
        <v>0.75</v>
      </c>
      <c r="D13" s="18">
        <f>IF('امتیاز دهی خبرگان'!$C13=0,0,IF('امتیاز دهی خبرگان'!$C13=1,'طیف فازی'!$C$2,IF('امتیاز دهی خبرگان'!$C13=2,'طیف فازی'!$C$3,IF('امتیاز دهی خبرگان'!$C13=3,'طیف فازی'!$C$4,IF('امتیاز دهی خبرگان'!$C13=4,'طیف فازی'!$C$5,'طیف فازی'!$C$6)))))</f>
        <v>1</v>
      </c>
      <c r="E13" s="19">
        <f>IF('امتیاز دهی خبرگان'!$C13=0,0,IF('امتیاز دهی خبرگان'!$C13=1,'طیف فازی'!$D$2,IF('امتیاز دهی خبرگان'!$C13=2,'طیف فازی'!$D$3,IF('امتیاز دهی خبرگان'!$C13=3,'طیف فازی'!$D$4,IF('امتیاز دهی خبرگان'!$C13=4,'طیف فازی'!$D$5,'طیف فازی'!$D$6)))))</f>
        <v>1</v>
      </c>
      <c r="F13" s="20">
        <f>IF('امتیاز دهی خبرگان'!$D13=0,0,IF('امتیاز دهی خبرگان'!$D13=1,'طیف فازی'!$B$2,IF('امتیاز دهی خبرگان'!$D13=2,'طیف فازی'!$B$3,IF('امتیاز دهی خبرگان'!$D13=3,'طیف فازی'!$B$4,IF('امتیاز دهی خبرگان'!$D13=4,'طیف فازی'!$B$5,'طیف فازی'!$B$6)))))</f>
        <v>0.25</v>
      </c>
      <c r="G13" s="21">
        <f>IF('امتیاز دهی خبرگان'!$D13=0,0,IF('امتیاز دهی خبرگان'!$D13=1,'طیف فازی'!$D$2,IF('امتیاز دهی خبرگان'!$D13=2,'طیف فازی'!$C$3,IF('امتیاز دهی خبرگان'!$D13=3,'طیف فازی'!$C$4,IF('امتیاز دهی خبرگان'!$D13=4,'طیف فازی'!$C$5,'طیف فازی'!$C$6)))))</f>
        <v>0.5</v>
      </c>
      <c r="H13" s="22">
        <f>IF('امتیاز دهی خبرگان'!$D13=0,0,IF('امتیاز دهی خبرگان'!$D13=1,'طیف فازی'!$D$2,IF('امتیاز دهی خبرگان'!$D13=2,'طیف فازی'!$D$3,IF('امتیاز دهی خبرگان'!$D13=3,'طیف فازی'!$D$4,IF('امتیاز دهی خبرگان'!$D13=4,'طیف فازی'!$D$5,'طیف فازی'!$D$6)))))</f>
        <v>0.75</v>
      </c>
      <c r="I13" s="17">
        <f>IF('امتیاز دهی خبرگان'!$E13=0,0,IF('امتیاز دهی خبرگان'!$E13=1,'طیف فازی'!$B$2,IF('امتیاز دهی خبرگان'!$E13=2,'طیف فازی'!$B$3,IF('امتیاز دهی خبرگان'!$E13=3,'طیف فازی'!$B$4,IF('امتیاز دهی خبرگان'!$E13=4,'طیف فازی'!$B$5,'طیف فازی'!$B$6)))))</f>
        <v>0</v>
      </c>
      <c r="J13" s="18">
        <f>IF('امتیاز دهی خبرگان'!$E13=0,0,IF('امتیاز دهی خبرگان'!$E13=1,'طیف فازی'!$C$2,IF('امتیاز دهی خبرگان'!$E13=2,'طیف فازی'!$C$3,IF('امتیاز دهی خبرگان'!$E13=3,'طیف فازی'!$C$4,IF('امتیاز دهی خبرگان'!$E13=4,'طیف فازی'!$C$5,'طیف فازی'!$C$6)))))</f>
        <v>0</v>
      </c>
      <c r="K13" s="19">
        <f>IF('امتیاز دهی خبرگان'!$E13=0,0,IF('امتیاز دهی خبرگان'!$E13=1,'طیف فازی'!$D$2,IF('امتیاز دهی خبرگان'!$E13=2,'طیف فازی'!$D$3,IF('امتیاز دهی خبرگان'!$E13=3,'طیف فازی'!$D$4,IF('امتیاز دهی خبرگان'!$E13=4,'طیف فازی'!$D$5,'طیف فازی'!$D$6)))))</f>
        <v>0.25</v>
      </c>
      <c r="L13" s="17">
        <f>IF('امتیاز دهی خبرگان'!$F13=0,0,IF('امتیاز دهی خبرگان'!$F13=1,'طیف فازی'!$B$2,IF('امتیاز دهی خبرگان'!$F13=2,'طیف فازی'!$B$3,IF('امتیاز دهی خبرگان'!$F13=3,'طیف فازی'!$B$4,IF('امتیاز دهی خبرگان'!$F13=4,'طیف فازی'!$B$5,'طیف فازی'!$B$6)))))</f>
        <v>0.75</v>
      </c>
      <c r="M13" s="18">
        <f>IF('امتیاز دهی خبرگان'!$F13=0,0,IF('امتیاز دهی خبرگان'!$F13=1,'طیف فازی'!$C$2,IF('امتیاز دهی خبرگان'!$F13=2,'طیف فازی'!$C$3,IF('امتیاز دهی خبرگان'!$F13=3,'طیف فازی'!$C$4,IF('امتیاز دهی خبرگان'!$F13=4,'طیف فازی'!$C$5,'طیف فازی'!$C$6)))))</f>
        <v>1</v>
      </c>
      <c r="N13" s="19">
        <f>IF('امتیاز دهی خبرگان'!$F13=0,0,IF('امتیاز دهی خبرگان'!$F13=1,'طیف فازی'!$D$2,IF('امتیاز دهی خبرگان'!$F13=2,'طیف فازی'!$D$3,IF('امتیاز دهی خبرگان'!$F13=3,'طیف فازی'!$D$4,IF('امتیاز دهی خبرگان'!$F13=4,'طیف فازی'!$D$5,'طیف فازی'!$D$6)))))</f>
        <v>1</v>
      </c>
      <c r="O13" s="17">
        <f>IF('امتیاز دهی خبرگان'!$G13=0,0,IF('امتیاز دهی خبرگان'!$G13=1,'طیف فازی'!$B$2,IF('امتیاز دهی خبرگان'!$G13=2,'طیف فازی'!$B$3,IF('امتیاز دهی خبرگان'!$G13=3,'طیف فازی'!$B$4,IF('امتیاز دهی خبرگان'!$G13=4,'طیف فازی'!$B$5,'طیف فازی'!$B$6)))))</f>
        <v>0.75</v>
      </c>
      <c r="P13" s="18">
        <f>IF('امتیاز دهی خبرگان'!$G13=0,0,IF('امتیاز دهی خبرگان'!$G13=1,'طیف فازی'!$C$2,IF('امتیاز دهی خبرگان'!$G13=2,'طیف فازی'!$C$3,IF('امتیاز دهی خبرگان'!$G13=3,'طیف فازی'!$C$4,IF('امتیاز دهی خبرگان'!$G13=4,'طیف فازی'!$C$5,'طیف فازی'!$C$6)))))</f>
        <v>1</v>
      </c>
      <c r="Q13" s="19">
        <f>IF('امتیاز دهی خبرگان'!$G13=0,0,IF('امتیاز دهی خبرگان'!$G13=1,'طیف فازی'!$D$2,IF('امتیاز دهی خبرگان'!$G13=2,'طیف فازی'!$D$3,IF('امتیاز دهی خبرگان'!$G13=3,'طیف فازی'!$D$4,IF('امتیاز دهی خبرگان'!$G13=4,'طیف فازی'!$D$5,'طیف فازی'!$D$6)))))</f>
        <v>1</v>
      </c>
      <c r="R13" s="17">
        <f>IF('امتیاز دهی خبرگان'!$H13=0,0,IF('امتیاز دهی خبرگان'!$H13=1,'طیف فازی'!$B$2,IF('امتیاز دهی خبرگان'!$H13=2,'طیف فازی'!$B$3,IF('امتیاز دهی خبرگان'!$H13=3,'طیف فازی'!$B$4,IF('امتیاز دهی خبرگان'!$H13=4,'طیف فازی'!$B$5,'طیف فازی'!$B$6)))))</f>
        <v>0</v>
      </c>
      <c r="S13" s="18">
        <f>IF('امتیاز دهی خبرگان'!$H13=0,0,IF('امتیاز دهی خبرگان'!$H13=1,'طیف فازی'!$C$2,IF('امتیاز دهی خبرگان'!$H13=2,'طیف فازی'!$C$3,IF('امتیاز دهی خبرگان'!$H13=3,'طیف فازی'!$C$4,IF('امتیاز دهی خبرگان'!$H13=4,'طیف فازی'!$C$5,'طیف فازی'!$C$6)))))</f>
        <v>0.25</v>
      </c>
      <c r="T13" s="19">
        <f>IF('امتیاز دهی خبرگان'!$H13=0,0,IF('امتیاز دهی خبرگان'!$H13=1,'طیف فازی'!$D$2,IF('امتیاز دهی خبرگان'!$H13=2,'طیف فازی'!$D$3,IF('امتیاز دهی خبرگان'!$H13=3,'طیف فازی'!$D$4,IF('امتیاز دهی خبرگان'!$H13=4,'طیف فازی'!$D$5,'طیف فازی'!$D$6)))))</f>
        <v>0.5</v>
      </c>
      <c r="U13" s="17">
        <f>IF('امتیاز دهی خبرگان'!$I13=0,0,IF('امتیاز دهی خبرگان'!$I13=1,'طیف فازی'!$B$2,IF('امتیاز دهی خبرگان'!$I13=2,'طیف فازی'!$B$3,IF('امتیاز دهی خبرگان'!$I13=3,'طیف فازی'!$B$4,IF('امتیاز دهی خبرگان'!$I13=4,'طیف فازی'!$B$5,'طیف فازی'!$B$6)))))</f>
        <v>0.25</v>
      </c>
      <c r="V13" s="18">
        <f>IF('امتیاز دهی خبرگان'!$I13=0,0,IF('امتیاز دهی خبرگان'!$I13=1,'طیف فازی'!$C$2,IF('امتیاز دهی خبرگان'!$I13=2,'طیف فازی'!$C$3,IF('امتیاز دهی خبرگان'!$I13=3,'طیف فازی'!$C$4,IF('امتیاز دهی خبرگان'!$I13=4,'طیف فازی'!$C$5,'طیف فازی'!$C$6)))))</f>
        <v>0.5</v>
      </c>
      <c r="W13" s="19">
        <f>IF('امتیاز دهی خبرگان'!$I13=0,0,IF('امتیاز دهی خبرگان'!$I13=1,'طیف فازی'!$D$2,IF('امتیاز دهی خبرگان'!$I13=2,'طیف فازی'!$D$3,IF('امتیاز دهی خبرگان'!$I13=3,'طیف فازی'!$D$4,IF('امتیاز دهی خبرگان'!$I13=4,'طیف فازی'!$D$5,'طیف فازی'!$D$6)))))</f>
        <v>0.75</v>
      </c>
      <c r="X13" s="17">
        <f>IF('امتیاز دهی خبرگان'!$J13=0,0,IF('امتیاز دهی خبرگان'!$J13=1,'طیف فازی'!$B$2,IF('امتیاز دهی خبرگان'!$J13=2,'طیف فازی'!$B$3,IF('امتیاز دهی خبرگان'!$J13=3,'طیف فازی'!$B$4,IF('امتیاز دهی خبرگان'!$J13=4,'طیف فازی'!$B$5,'طیف فازی'!$B$6)))))</f>
        <v>0.75</v>
      </c>
      <c r="Y13" s="18">
        <f>IF('امتیاز دهی خبرگان'!$J13=0,0,IF('امتیاز دهی خبرگان'!$J13=1,'طیف فازی'!$C$2,IF('امتیاز دهی خبرگان'!$J13=2,'طیف فازی'!$C$3,IF('امتیاز دهی خبرگان'!$J13=3,'طیف فازی'!$C$4,IF('امتیاز دهی خبرگان'!$J13=4,'طیف فازی'!$C$5,'طیف فازی'!$C$6)))))</f>
        <v>1</v>
      </c>
      <c r="Z13" s="19">
        <f>IF('امتیاز دهی خبرگان'!$J13=0,0,IF('امتیاز دهی خبرگان'!$J13=1,'طیف فازی'!$D$2,IF('امتیاز دهی خبرگان'!$J13=2,'طیف فازی'!$D$3,IF('امتیاز دهی خبرگان'!$J13=3,'طیف فازی'!$D$4,IF('امتیاز دهی خبرگان'!$J13=4,'طیف فازی'!$D$5,'طیف فازی'!$D$6)))))</f>
        <v>1</v>
      </c>
      <c r="AA13" s="17">
        <f>IF('امتیاز دهی خبرگان'!$K13=0,0,IF('امتیاز دهی خبرگان'!$K13=1,'طیف فازی'!$B$2,IF('امتیاز دهی خبرگان'!$K13=2,'طیف فازی'!$B$3,IF('امتیاز دهی خبرگان'!$K13=3,'طیف فازی'!$B$4,IF('امتیاز دهی خبرگان'!$K13=4,'طیف فازی'!$B$5,'طیف فازی'!$B$6)))))</f>
        <v>0.75</v>
      </c>
      <c r="AB13" s="18">
        <f>IF('امتیاز دهی خبرگان'!$K13=0,0,IF('امتیاز دهی خبرگان'!$K13=1,'طیف فازی'!$C$2,IF('امتیاز دهی خبرگان'!$K13=2,'طیف فازی'!$C$3,IF('امتیاز دهی خبرگان'!$K13=3,'طیف فازی'!$C$4,IF('امتیاز دهی خبرگان'!$K13=4,'طیف فازی'!$C$5,'طیف فازی'!$C$6)))))</f>
        <v>1</v>
      </c>
      <c r="AC13" s="19">
        <f>IF('امتیاز دهی خبرگان'!$K13=0,0,IF('امتیاز دهی خبرگان'!$K13=1,'طیف فازی'!$D$2,IF('امتیاز دهی خبرگان'!$K13=2,'طیف فازی'!$D$3,IF('امتیاز دهی خبرگان'!$K13=3,'طیف فازی'!$D$4,IF('امتیاز دهی خبرگان'!$K13=4,'طیف فازی'!$D$5,'طیف فازی'!$D$6)))))</f>
        <v>1</v>
      </c>
      <c r="AD13" s="17">
        <f>IF('امتیاز دهی خبرگان'!$L13=0,0,IF('امتیاز دهی خبرگان'!$L13=1,'طیف فازی'!$B$2,IF('امتیاز دهی خبرگان'!$L13=2,'طیف فازی'!$B$3,IF('امتیاز دهی خبرگان'!$L13=3,'طیف فازی'!$B$4,IF('امتیاز دهی خبرگان'!$L13=4,'طیف فازی'!$B$5,'طیف فازی'!$B$6)))))</f>
        <v>0.75</v>
      </c>
      <c r="AE13" s="18">
        <f>IF('امتیاز دهی خبرگان'!$L13=0,0,IF('امتیاز دهی خبرگان'!$L13=1,'طیف فازی'!$C$2,IF('امتیاز دهی خبرگان'!$L13=2,'طیف فازی'!$C$3,IF('امتیاز دهی خبرگان'!$L13=3,'طیف فازی'!$C$4,IF('امتیاز دهی خبرگان'!$L13=4,'طیف فازی'!$C$5,'طیف فازی'!$C$6)))))</f>
        <v>1</v>
      </c>
      <c r="AF13" s="19">
        <f>IF('امتیاز دهی خبرگان'!$L13=0,0,IF('امتیاز دهی خبرگان'!$L13=1,'طیف فازی'!$D$2,IF('امتیاز دهی خبرگان'!$L13=2,'طیف فازی'!$D$3,IF('امتیاز دهی خبرگان'!$L13=3,'طیف فازی'!$D$4,IF('امتیاز دهی خبرگان'!$L13=4,'طیف فازی'!$D$5,'طیف فازی'!$D$6)))))</f>
        <v>1</v>
      </c>
      <c r="AG13" s="17">
        <f>IF('امتیاز دهی خبرگان'!$M13=0,0,IF('امتیاز دهی خبرگان'!$M13=1,'طیف فازی'!$B$2,IF('امتیاز دهی خبرگان'!$M13=2,'طیف فازی'!$B$3,IF('امتیاز دهی خبرگان'!$M13=3,'طیف فازی'!$B$4,IF('امتیاز دهی خبرگان'!$M13=4,'طیف فازی'!$B$5,'طیف فازی'!$B$6)))))</f>
        <v>0.75</v>
      </c>
      <c r="AH13" s="18">
        <f>IF('امتیاز دهی خبرگان'!$M13=0,0,IF('امتیاز دهی خبرگان'!$M13=1,'طیف فازی'!$C$2,IF('امتیاز دهی خبرگان'!$M13=2,'طیف فازی'!$C$3,IF('امتیاز دهی خبرگان'!$M13=3,'طیف فازی'!$C$4,IF('امتیاز دهی خبرگان'!$M13=4,'طیف فازی'!$C$5,'طیف فازی'!$C$6)))))</f>
        <v>1</v>
      </c>
      <c r="AI13" s="19">
        <f>IF('امتیاز دهی خبرگان'!$M13=0,0,IF('امتیاز دهی خبرگان'!$M13=1,'طیف فازی'!$D$2,IF('امتیاز دهی خبرگان'!$M13=2,'طیف فازی'!$D$3,IF('امتیاز دهی خبرگان'!$M13=3,'طیف فازی'!$D$4,IF('امتیاز دهی خبرگان'!$M13=4,'طیف فازی'!$D$5,'طیف فازی'!$D$6)))))</f>
        <v>1</v>
      </c>
      <c r="AJ13" s="17">
        <f>IF('امتیاز دهی خبرگان'!$N13=0,0,IF('امتیاز دهی خبرگان'!$N13=1,'طیف فازی'!$B$2,IF('امتیاز دهی خبرگان'!$N13=2,'طیف فازی'!$B$3,IF('امتیاز دهی خبرگان'!$N13=3,'طیف فازی'!$B$4,IF('امتیاز دهی خبرگان'!$N13=4,'طیف فازی'!$B$5,'طیف فازی'!$B$6)))))</f>
        <v>0.75</v>
      </c>
      <c r="AK13" s="18">
        <f>IF('امتیاز دهی خبرگان'!$N13=0,0,IF('امتیاز دهی خبرگان'!$N13=1,'طیف فازی'!$C$2,IF('امتیاز دهی خبرگان'!$N13=2,'طیف فازی'!$C$3,IF('امتیاز دهی خبرگان'!$N13=3,'طیف فازی'!$C$4,IF('امتیاز دهی خبرگان'!$N13=4,'طیف فازی'!$C$5,'طیف فازی'!$C$6)))))</f>
        <v>1</v>
      </c>
      <c r="AL13" s="19">
        <f>IF('امتیاز دهی خبرگان'!$N13=0,0,IF('امتیاز دهی خبرگان'!$N13=1,'طیف فازی'!$D$2,IF('امتیاز دهی خبرگان'!$N13=2,'طیف فازی'!$D$3,IF('امتیاز دهی خبرگان'!$N13=3,'طیف فازی'!$D$4,IF('امتیاز دهی خبرگان'!$N13=4,'طیف فازی'!$D$5,'طیف فازی'!$D$6)))))</f>
        <v>1</v>
      </c>
      <c r="AM13" s="23">
        <f t="shared" si="1"/>
        <v>6.5</v>
      </c>
      <c r="AN13" s="23">
        <f t="shared" si="2"/>
        <v>9.25</v>
      </c>
      <c r="AO13" s="24">
        <f t="shared" si="3"/>
        <v>10.25</v>
      </c>
      <c r="AP13" s="25">
        <f t="shared" si="4"/>
        <v>0.54166666666666663</v>
      </c>
      <c r="AQ13" s="23">
        <f t="shared" si="5"/>
        <v>0.77083333333333337</v>
      </c>
      <c r="AR13" s="24">
        <f t="shared" si="6"/>
        <v>0.85416666666666663</v>
      </c>
      <c r="AS13" s="24">
        <f t="shared" si="7"/>
        <v>0.72222222222222221</v>
      </c>
      <c r="AT13" s="24" t="str">
        <f t="shared" si="8"/>
        <v>Pass</v>
      </c>
    </row>
    <row r="14" spans="2:47" ht="23.25" customHeight="1" thickBot="1" x14ac:dyDescent="0.85">
      <c r="B14" s="2">
        <v>12</v>
      </c>
      <c r="C14" s="17">
        <f>IF('امتیاز دهی خبرگان'!$C14=0,0,IF('امتیاز دهی خبرگان'!$C14=1,'طیف فازی'!$B$2,IF('امتیاز دهی خبرگان'!$C14=2,'طیف فازی'!$B$3,IF('امتیاز دهی خبرگان'!$C14=3,'طیف فازی'!$B$4,IF('امتیاز دهی خبرگان'!$C14=4,'طیف فازی'!$B$5,'طیف فازی'!$B$6)))))</f>
        <v>0.75</v>
      </c>
      <c r="D14" s="18">
        <f>IF('امتیاز دهی خبرگان'!$C14=0,0,IF('امتیاز دهی خبرگان'!$C14=1,'طیف فازی'!$C$2,IF('امتیاز دهی خبرگان'!$C14=2,'طیف فازی'!$C$3,IF('امتیاز دهی خبرگان'!$C14=3,'طیف فازی'!$C$4,IF('امتیاز دهی خبرگان'!$C14=4,'طیف فازی'!$C$5,'طیف فازی'!$C$6)))))</f>
        <v>1</v>
      </c>
      <c r="E14" s="19">
        <f>IF('امتیاز دهی خبرگان'!$C14=0,0,IF('امتیاز دهی خبرگان'!$C14=1,'طیف فازی'!$D$2,IF('امتیاز دهی خبرگان'!$C14=2,'طیف فازی'!$D$3,IF('امتیاز دهی خبرگان'!$C14=3,'طیف فازی'!$D$4,IF('امتیاز دهی خبرگان'!$C14=4,'طیف فازی'!$D$5,'طیف فازی'!$D$6)))))</f>
        <v>1</v>
      </c>
      <c r="F14" s="20">
        <f>IF('امتیاز دهی خبرگان'!$D14=0,0,IF('امتیاز دهی خبرگان'!$D14=1,'طیف فازی'!$B$2,IF('امتیاز دهی خبرگان'!$D14=2,'طیف فازی'!$B$3,IF('امتیاز دهی خبرگان'!$D14=3,'طیف فازی'!$B$4,IF('امتیاز دهی خبرگان'!$D14=4,'طیف فازی'!$B$5,'طیف فازی'!$B$6)))))</f>
        <v>0.5</v>
      </c>
      <c r="G14" s="21">
        <f>IF('امتیاز دهی خبرگان'!$D14=0,0,IF('امتیاز دهی خبرگان'!$D14=1,'طیف فازی'!$D$2,IF('امتیاز دهی خبرگان'!$D14=2,'طیف فازی'!$C$3,IF('امتیاز دهی خبرگان'!$D14=3,'طیف فازی'!$C$4,IF('امتیاز دهی خبرگان'!$D14=4,'طیف فازی'!$C$5,'طیف فازی'!$C$6)))))</f>
        <v>0.75</v>
      </c>
      <c r="H14" s="22">
        <f>IF('امتیاز دهی خبرگان'!$D14=0,0,IF('امتیاز دهی خبرگان'!$D14=1,'طیف فازی'!$D$2,IF('امتیاز دهی خبرگان'!$D14=2,'طیف فازی'!$D$3,IF('امتیاز دهی خبرگان'!$D14=3,'طیف فازی'!$D$4,IF('امتیاز دهی خبرگان'!$D14=4,'طیف فازی'!$D$5,'طیف فازی'!$D$6)))))</f>
        <v>1</v>
      </c>
      <c r="I14" s="17">
        <f>IF('امتیاز دهی خبرگان'!$E14=0,0,IF('امتیاز دهی خبرگان'!$E14=1,'طیف فازی'!$B$2,IF('امتیاز دهی خبرگان'!$E14=2,'طیف فازی'!$B$3,IF('امتیاز دهی خبرگان'!$E14=3,'طیف فازی'!$B$4,IF('امتیاز دهی خبرگان'!$E14=4,'طیف فازی'!$B$5,'طیف فازی'!$B$6)))))</f>
        <v>0.25</v>
      </c>
      <c r="J14" s="18">
        <f>IF('امتیاز دهی خبرگان'!$E14=0,0,IF('امتیاز دهی خبرگان'!$E14=1,'طیف فازی'!$C$2,IF('امتیاز دهی خبرگان'!$E14=2,'طیف فازی'!$C$3,IF('امتیاز دهی خبرگان'!$E14=3,'طیف فازی'!$C$4,IF('امتیاز دهی خبرگان'!$E14=4,'طیف فازی'!$C$5,'طیف فازی'!$C$6)))))</f>
        <v>0.5</v>
      </c>
      <c r="K14" s="19">
        <f>IF('امتیاز دهی خبرگان'!$E14=0,0,IF('امتیاز دهی خبرگان'!$E14=1,'طیف فازی'!$D$2,IF('امتیاز دهی خبرگان'!$E14=2,'طیف فازی'!$D$3,IF('امتیاز دهی خبرگان'!$E14=3,'طیف فازی'!$D$4,IF('امتیاز دهی خبرگان'!$E14=4,'طیف فازی'!$D$5,'طیف فازی'!$D$6)))))</f>
        <v>0.75</v>
      </c>
      <c r="L14" s="17">
        <f>IF('امتیاز دهی خبرگان'!$F14=0,0,IF('امتیاز دهی خبرگان'!$F14=1,'طیف فازی'!$B$2,IF('امتیاز دهی خبرگان'!$F14=2,'طیف فازی'!$B$3,IF('امتیاز دهی خبرگان'!$F14=3,'طیف فازی'!$B$4,IF('امتیاز دهی خبرگان'!$F14=4,'طیف فازی'!$B$5,'طیف فازی'!$B$6)))))</f>
        <v>0.75</v>
      </c>
      <c r="M14" s="18">
        <f>IF('امتیاز دهی خبرگان'!$F14=0,0,IF('امتیاز دهی خبرگان'!$F14=1,'طیف فازی'!$C$2,IF('امتیاز دهی خبرگان'!$F14=2,'طیف فازی'!$C$3,IF('امتیاز دهی خبرگان'!$F14=3,'طیف فازی'!$C$4,IF('امتیاز دهی خبرگان'!$F14=4,'طیف فازی'!$C$5,'طیف فازی'!$C$6)))))</f>
        <v>1</v>
      </c>
      <c r="N14" s="19">
        <f>IF('امتیاز دهی خبرگان'!$F14=0,0,IF('امتیاز دهی خبرگان'!$F14=1,'طیف فازی'!$D$2,IF('امتیاز دهی خبرگان'!$F14=2,'طیف فازی'!$D$3,IF('امتیاز دهی خبرگان'!$F14=3,'طیف فازی'!$D$4,IF('امتیاز دهی خبرگان'!$F14=4,'طیف فازی'!$D$5,'طیف فازی'!$D$6)))))</f>
        <v>1</v>
      </c>
      <c r="O14" s="17">
        <f>IF('امتیاز دهی خبرگان'!$G14=0,0,IF('امتیاز دهی خبرگان'!$G14=1,'طیف فازی'!$B$2,IF('امتیاز دهی خبرگان'!$G14=2,'طیف فازی'!$B$3,IF('امتیاز دهی خبرگان'!$G14=3,'طیف فازی'!$B$4,IF('امتیاز دهی خبرگان'!$G14=4,'طیف فازی'!$B$5,'طیف فازی'!$B$6)))))</f>
        <v>0.75</v>
      </c>
      <c r="P14" s="18">
        <f>IF('امتیاز دهی خبرگان'!$G14=0,0,IF('امتیاز دهی خبرگان'!$G14=1,'طیف فازی'!$C$2,IF('امتیاز دهی خبرگان'!$G14=2,'طیف فازی'!$C$3,IF('امتیاز دهی خبرگان'!$G14=3,'طیف فازی'!$C$4,IF('امتیاز دهی خبرگان'!$G14=4,'طیف فازی'!$C$5,'طیف فازی'!$C$6)))))</f>
        <v>1</v>
      </c>
      <c r="Q14" s="19">
        <f>IF('امتیاز دهی خبرگان'!$G14=0,0,IF('امتیاز دهی خبرگان'!$G14=1,'طیف فازی'!$D$2,IF('امتیاز دهی خبرگان'!$G14=2,'طیف فازی'!$D$3,IF('امتیاز دهی خبرگان'!$G14=3,'طیف فازی'!$D$4,IF('امتیاز دهی خبرگان'!$G14=4,'طیف فازی'!$D$5,'طیف فازی'!$D$6)))))</f>
        <v>1</v>
      </c>
      <c r="R14" s="17">
        <f>IF('امتیاز دهی خبرگان'!$H14=0,0,IF('امتیاز دهی خبرگان'!$H14=1,'طیف فازی'!$B$2,IF('امتیاز دهی خبرگان'!$H14=2,'طیف فازی'!$B$3,IF('امتیاز دهی خبرگان'!$H14=3,'طیف فازی'!$B$4,IF('امتیاز دهی خبرگان'!$H14=4,'طیف فازی'!$B$5,'طیف فازی'!$B$6)))))</f>
        <v>0.25</v>
      </c>
      <c r="S14" s="18">
        <f>IF('امتیاز دهی خبرگان'!$H14=0,0,IF('امتیاز دهی خبرگان'!$H14=1,'طیف فازی'!$C$2,IF('امتیاز دهی خبرگان'!$H14=2,'طیف فازی'!$C$3,IF('امتیاز دهی خبرگان'!$H14=3,'طیف فازی'!$C$4,IF('امتیاز دهی خبرگان'!$H14=4,'طیف فازی'!$C$5,'طیف فازی'!$C$6)))))</f>
        <v>0.5</v>
      </c>
      <c r="T14" s="19">
        <f>IF('امتیاز دهی خبرگان'!$H14=0,0,IF('امتیاز دهی خبرگان'!$H14=1,'طیف فازی'!$D$2,IF('امتیاز دهی خبرگان'!$H14=2,'طیف فازی'!$D$3,IF('امتیاز دهی خبرگان'!$H14=3,'طیف فازی'!$D$4,IF('امتیاز دهی خبرگان'!$H14=4,'طیف فازی'!$D$5,'طیف فازی'!$D$6)))))</f>
        <v>0.75</v>
      </c>
      <c r="U14" s="17">
        <f>IF('امتیاز دهی خبرگان'!$I14=0,0,IF('امتیاز دهی خبرگان'!$I14=1,'طیف فازی'!$B$2,IF('امتیاز دهی خبرگان'!$I14=2,'طیف فازی'!$B$3,IF('امتیاز دهی خبرگان'!$I14=3,'طیف فازی'!$B$4,IF('امتیاز دهی خبرگان'!$I14=4,'طیف فازی'!$B$5,'طیف فازی'!$B$6)))))</f>
        <v>0.25</v>
      </c>
      <c r="V14" s="18">
        <f>IF('امتیاز دهی خبرگان'!$I14=0,0,IF('امتیاز دهی خبرگان'!$I14=1,'طیف فازی'!$C$2,IF('امتیاز دهی خبرگان'!$I14=2,'طیف فازی'!$C$3,IF('امتیاز دهی خبرگان'!$I14=3,'طیف فازی'!$C$4,IF('امتیاز دهی خبرگان'!$I14=4,'طیف فازی'!$C$5,'طیف فازی'!$C$6)))))</f>
        <v>0.5</v>
      </c>
      <c r="W14" s="19">
        <f>IF('امتیاز دهی خبرگان'!$I14=0,0,IF('امتیاز دهی خبرگان'!$I14=1,'طیف فازی'!$D$2,IF('امتیاز دهی خبرگان'!$I14=2,'طیف فازی'!$D$3,IF('امتیاز دهی خبرگان'!$I14=3,'طیف فازی'!$D$4,IF('امتیاز دهی خبرگان'!$I14=4,'طیف فازی'!$D$5,'طیف فازی'!$D$6)))))</f>
        <v>0.75</v>
      </c>
      <c r="X14" s="17">
        <f>IF('امتیاز دهی خبرگان'!$J14=0,0,IF('امتیاز دهی خبرگان'!$J14=1,'طیف فازی'!$B$2,IF('امتیاز دهی خبرگان'!$J14=2,'طیف فازی'!$B$3,IF('امتیاز دهی خبرگان'!$J14=3,'طیف فازی'!$B$4,IF('امتیاز دهی خبرگان'!$J14=4,'طیف فازی'!$B$5,'طیف فازی'!$B$6)))))</f>
        <v>0.75</v>
      </c>
      <c r="Y14" s="18">
        <f>IF('امتیاز دهی خبرگان'!$J14=0,0,IF('امتیاز دهی خبرگان'!$J14=1,'طیف فازی'!$C$2,IF('امتیاز دهی خبرگان'!$J14=2,'طیف فازی'!$C$3,IF('امتیاز دهی خبرگان'!$J14=3,'طیف فازی'!$C$4,IF('امتیاز دهی خبرگان'!$J14=4,'طیف فازی'!$C$5,'طیف فازی'!$C$6)))))</f>
        <v>1</v>
      </c>
      <c r="Z14" s="19">
        <f>IF('امتیاز دهی خبرگان'!$J14=0,0,IF('امتیاز دهی خبرگان'!$J14=1,'طیف فازی'!$D$2,IF('امتیاز دهی خبرگان'!$J14=2,'طیف فازی'!$D$3,IF('امتیاز دهی خبرگان'!$J14=3,'طیف فازی'!$D$4,IF('امتیاز دهی خبرگان'!$J14=4,'طیف فازی'!$D$5,'طیف فازی'!$D$6)))))</f>
        <v>1</v>
      </c>
      <c r="AA14" s="17">
        <f>IF('امتیاز دهی خبرگان'!$K14=0,0,IF('امتیاز دهی خبرگان'!$K14=1,'طیف فازی'!$B$2,IF('امتیاز دهی خبرگان'!$K14=2,'طیف فازی'!$B$3,IF('امتیاز دهی خبرگان'!$K14=3,'طیف فازی'!$B$4,IF('امتیاز دهی خبرگان'!$K14=4,'طیف فازی'!$B$5,'طیف فازی'!$B$6)))))</f>
        <v>0.75</v>
      </c>
      <c r="AB14" s="18">
        <f>IF('امتیاز دهی خبرگان'!$K14=0,0,IF('امتیاز دهی خبرگان'!$K14=1,'طیف فازی'!$C$2,IF('امتیاز دهی خبرگان'!$K14=2,'طیف فازی'!$C$3,IF('امتیاز دهی خبرگان'!$K14=3,'طیف فازی'!$C$4,IF('امتیاز دهی خبرگان'!$K14=4,'طیف فازی'!$C$5,'طیف فازی'!$C$6)))))</f>
        <v>1</v>
      </c>
      <c r="AC14" s="19">
        <f>IF('امتیاز دهی خبرگان'!$K14=0,0,IF('امتیاز دهی خبرگان'!$K14=1,'طیف فازی'!$D$2,IF('امتیاز دهی خبرگان'!$K14=2,'طیف فازی'!$D$3,IF('امتیاز دهی خبرگان'!$K14=3,'طیف فازی'!$D$4,IF('امتیاز دهی خبرگان'!$K14=4,'طیف فازی'!$D$5,'طیف فازی'!$D$6)))))</f>
        <v>1</v>
      </c>
      <c r="AD14" s="17">
        <f>IF('امتیاز دهی خبرگان'!$L14=0,0,IF('امتیاز دهی خبرگان'!$L14=1,'طیف فازی'!$B$2,IF('امتیاز دهی خبرگان'!$L14=2,'طیف فازی'!$B$3,IF('امتیاز دهی خبرگان'!$L14=3,'طیف فازی'!$B$4,IF('امتیاز دهی خبرگان'!$L14=4,'طیف فازی'!$B$5,'طیف فازی'!$B$6)))))</f>
        <v>0.75</v>
      </c>
      <c r="AE14" s="18">
        <f>IF('امتیاز دهی خبرگان'!$L14=0,0,IF('امتیاز دهی خبرگان'!$L14=1,'طیف فازی'!$C$2,IF('امتیاز دهی خبرگان'!$L14=2,'طیف فازی'!$C$3,IF('امتیاز دهی خبرگان'!$L14=3,'طیف فازی'!$C$4,IF('امتیاز دهی خبرگان'!$L14=4,'طیف فازی'!$C$5,'طیف فازی'!$C$6)))))</f>
        <v>1</v>
      </c>
      <c r="AF14" s="19">
        <f>IF('امتیاز دهی خبرگان'!$L14=0,0,IF('امتیاز دهی خبرگان'!$L14=1,'طیف فازی'!$D$2,IF('امتیاز دهی خبرگان'!$L14=2,'طیف فازی'!$D$3,IF('امتیاز دهی خبرگان'!$L14=3,'طیف فازی'!$D$4,IF('امتیاز دهی خبرگان'!$L14=4,'طیف فازی'!$D$5,'طیف فازی'!$D$6)))))</f>
        <v>1</v>
      </c>
      <c r="AG14" s="17">
        <f>IF('امتیاز دهی خبرگان'!$M14=0,0,IF('امتیاز دهی خبرگان'!$M14=1,'طیف فازی'!$B$2,IF('امتیاز دهی خبرگان'!$M14=2,'طیف فازی'!$B$3,IF('امتیاز دهی خبرگان'!$M14=3,'طیف فازی'!$B$4,IF('امتیاز دهی خبرگان'!$M14=4,'طیف فازی'!$B$5,'طیف فازی'!$B$6)))))</f>
        <v>0.5</v>
      </c>
      <c r="AH14" s="18">
        <f>IF('امتیاز دهی خبرگان'!$M14=0,0,IF('امتیاز دهی خبرگان'!$M14=1,'طیف فازی'!$C$2,IF('امتیاز دهی خبرگان'!$M14=2,'طیف فازی'!$C$3,IF('امتیاز دهی خبرگان'!$M14=3,'طیف فازی'!$C$4,IF('امتیاز دهی خبرگان'!$M14=4,'طیف فازی'!$C$5,'طیف فازی'!$C$6)))))</f>
        <v>0.75</v>
      </c>
      <c r="AI14" s="19">
        <f>IF('امتیاز دهی خبرگان'!$M14=0,0,IF('امتیاز دهی خبرگان'!$M14=1,'طیف فازی'!$D$2,IF('امتیاز دهی خبرگان'!$M14=2,'طیف فازی'!$D$3,IF('امتیاز دهی خبرگان'!$M14=3,'طیف فازی'!$D$4,IF('امتیاز دهی خبرگان'!$M14=4,'طیف فازی'!$D$5,'طیف فازی'!$D$6)))))</f>
        <v>1</v>
      </c>
      <c r="AJ14" s="17">
        <f>IF('امتیاز دهی خبرگان'!$N14=0,0,IF('امتیاز دهی خبرگان'!$N14=1,'طیف فازی'!$B$2,IF('امتیاز دهی خبرگان'!$N14=2,'طیف فازی'!$B$3,IF('امتیاز دهی خبرگان'!$N14=3,'طیف فازی'!$B$4,IF('امتیاز دهی خبرگان'!$N14=4,'طیف فازی'!$B$5,'طیف فازی'!$B$6)))))</f>
        <v>0.75</v>
      </c>
      <c r="AK14" s="18">
        <f>IF('امتیاز دهی خبرگان'!$N14=0,0,IF('امتیاز دهی خبرگان'!$N14=1,'طیف فازی'!$C$2,IF('امتیاز دهی خبرگان'!$N14=2,'طیف فازی'!$C$3,IF('امتیاز دهی خبرگان'!$N14=3,'طیف فازی'!$C$4,IF('امتیاز دهی خبرگان'!$N14=4,'طیف فازی'!$C$5,'طیف فازی'!$C$6)))))</f>
        <v>1</v>
      </c>
      <c r="AL14" s="19">
        <f>IF('امتیاز دهی خبرگان'!$N14=0,0,IF('امتیاز دهی خبرگان'!$N14=1,'طیف فازی'!$D$2,IF('امتیاز دهی خبرگان'!$N14=2,'طیف فازی'!$D$3,IF('امتیاز دهی خبرگان'!$N14=3,'طیف فازی'!$D$4,IF('امتیاز دهی خبرگان'!$N14=4,'طیف فازی'!$D$5,'طیف فازی'!$D$6)))))</f>
        <v>1</v>
      </c>
      <c r="AM14" s="23">
        <f t="shared" si="1"/>
        <v>7</v>
      </c>
      <c r="AN14" s="23">
        <f t="shared" si="2"/>
        <v>10</v>
      </c>
      <c r="AO14" s="24">
        <f t="shared" si="3"/>
        <v>11.25</v>
      </c>
      <c r="AP14" s="25">
        <f t="shared" si="4"/>
        <v>0.58333333333333337</v>
      </c>
      <c r="AQ14" s="23">
        <f t="shared" si="5"/>
        <v>0.83333333333333337</v>
      </c>
      <c r="AR14" s="24">
        <f t="shared" si="6"/>
        <v>0.9375</v>
      </c>
      <c r="AS14" s="24">
        <f t="shared" si="7"/>
        <v>0.78472222222222232</v>
      </c>
      <c r="AT14" s="24" t="str">
        <f t="shared" si="8"/>
        <v>Pass</v>
      </c>
    </row>
    <row r="15" spans="2:47" ht="23.25" customHeight="1" thickBot="1" x14ac:dyDescent="0.85">
      <c r="B15" s="2">
        <v>13</v>
      </c>
      <c r="C15" s="17">
        <f>IF('امتیاز دهی خبرگان'!$C15=0,0,IF('امتیاز دهی خبرگان'!$C15=1,'طیف فازی'!$B$2,IF('امتیاز دهی خبرگان'!$C15=2,'طیف فازی'!$B$3,IF('امتیاز دهی خبرگان'!$C15=3,'طیف فازی'!$B$4,IF('امتیاز دهی خبرگان'!$C15=4,'طیف فازی'!$B$5,'طیف فازی'!$B$6)))))</f>
        <v>0.75</v>
      </c>
      <c r="D15" s="18">
        <f>IF('امتیاز دهی خبرگان'!$C15=0,0,IF('امتیاز دهی خبرگان'!$C15=1,'طیف فازی'!$C$2,IF('امتیاز دهی خبرگان'!$C15=2,'طیف فازی'!$C$3,IF('امتیاز دهی خبرگان'!$C15=3,'طیف فازی'!$C$4,IF('امتیاز دهی خبرگان'!$C15=4,'طیف فازی'!$C$5,'طیف فازی'!$C$6)))))</f>
        <v>1</v>
      </c>
      <c r="E15" s="19">
        <f>IF('امتیاز دهی خبرگان'!$C15=0,0,IF('امتیاز دهی خبرگان'!$C15=1,'طیف فازی'!$D$2,IF('امتیاز دهی خبرگان'!$C15=2,'طیف فازی'!$D$3,IF('امتیاز دهی خبرگان'!$C15=3,'طیف فازی'!$D$4,IF('امتیاز دهی خبرگان'!$C15=4,'طیف فازی'!$D$5,'طیف فازی'!$D$6)))))</f>
        <v>1</v>
      </c>
      <c r="F15" s="20">
        <f>IF('امتیاز دهی خبرگان'!$D15=0,0,IF('امتیاز دهی خبرگان'!$D15=1,'طیف فازی'!$B$2,IF('امتیاز دهی خبرگان'!$D15=2,'طیف فازی'!$B$3,IF('امتیاز دهی خبرگان'!$D15=3,'طیف فازی'!$B$4,IF('امتیاز دهی خبرگان'!$D15=4,'طیف فازی'!$B$5,'طیف فازی'!$B$6)))))</f>
        <v>0.25</v>
      </c>
      <c r="G15" s="21">
        <f>IF('امتیاز دهی خبرگان'!$D15=0,0,IF('امتیاز دهی خبرگان'!$D15=1,'طیف فازی'!$D$2,IF('امتیاز دهی خبرگان'!$D15=2,'طیف فازی'!$C$3,IF('امتیاز دهی خبرگان'!$D15=3,'طیف فازی'!$C$4,IF('امتیاز دهی خبرگان'!$D15=4,'طیف فازی'!$C$5,'طیف فازی'!$C$6)))))</f>
        <v>0.5</v>
      </c>
      <c r="H15" s="22">
        <f>IF('امتیاز دهی خبرگان'!$D15=0,0,IF('امتیاز دهی خبرگان'!$D15=1,'طیف فازی'!$D$2,IF('امتیاز دهی خبرگان'!$D15=2,'طیف فازی'!$D$3,IF('امتیاز دهی خبرگان'!$D15=3,'طیف فازی'!$D$4,IF('امتیاز دهی خبرگان'!$D15=4,'طیف فازی'!$D$5,'طیف فازی'!$D$6)))))</f>
        <v>0.75</v>
      </c>
      <c r="I15" s="17">
        <f>IF('امتیاز دهی خبرگان'!$E15=0,0,IF('امتیاز دهی خبرگان'!$E15=1,'طیف فازی'!$B$2,IF('امتیاز دهی خبرگان'!$E15=2,'طیف فازی'!$B$3,IF('امتیاز دهی خبرگان'!$E15=3,'طیف فازی'!$B$4,IF('امتیاز دهی خبرگان'!$E15=4,'طیف فازی'!$B$5,'طیف فازی'!$B$6)))))</f>
        <v>0.5</v>
      </c>
      <c r="J15" s="18">
        <f>IF('امتیاز دهی خبرگان'!$E15=0,0,IF('امتیاز دهی خبرگان'!$E15=1,'طیف فازی'!$C$2,IF('امتیاز دهی خبرگان'!$E15=2,'طیف فازی'!$C$3,IF('امتیاز دهی خبرگان'!$E15=3,'طیف فازی'!$C$4,IF('امتیاز دهی خبرگان'!$E15=4,'طیف فازی'!$C$5,'طیف فازی'!$C$6)))))</f>
        <v>0.75</v>
      </c>
      <c r="K15" s="19">
        <f>IF('امتیاز دهی خبرگان'!$E15=0,0,IF('امتیاز دهی خبرگان'!$E15=1,'طیف فازی'!$D$2,IF('امتیاز دهی خبرگان'!$E15=2,'طیف فازی'!$D$3,IF('امتیاز دهی خبرگان'!$E15=3,'طیف فازی'!$D$4,IF('امتیاز دهی خبرگان'!$E15=4,'طیف فازی'!$D$5,'طیف فازی'!$D$6)))))</f>
        <v>1</v>
      </c>
      <c r="L15" s="17">
        <f>IF('امتیاز دهی خبرگان'!$F15=0,0,IF('امتیاز دهی خبرگان'!$F15=1,'طیف فازی'!$B$2,IF('امتیاز دهی خبرگان'!$F15=2,'طیف فازی'!$B$3,IF('امتیاز دهی خبرگان'!$F15=3,'طیف فازی'!$B$4,IF('امتیاز دهی خبرگان'!$F15=4,'طیف فازی'!$B$5,'طیف فازی'!$B$6)))))</f>
        <v>0.75</v>
      </c>
      <c r="M15" s="18">
        <f>IF('امتیاز دهی خبرگان'!$F15=0,0,IF('امتیاز دهی خبرگان'!$F15=1,'طیف فازی'!$C$2,IF('امتیاز دهی خبرگان'!$F15=2,'طیف فازی'!$C$3,IF('امتیاز دهی خبرگان'!$F15=3,'طیف فازی'!$C$4,IF('امتیاز دهی خبرگان'!$F15=4,'طیف فازی'!$C$5,'طیف فازی'!$C$6)))))</f>
        <v>1</v>
      </c>
      <c r="N15" s="19">
        <f>IF('امتیاز دهی خبرگان'!$F15=0,0,IF('امتیاز دهی خبرگان'!$F15=1,'طیف فازی'!$D$2,IF('امتیاز دهی خبرگان'!$F15=2,'طیف فازی'!$D$3,IF('امتیاز دهی خبرگان'!$F15=3,'طیف فازی'!$D$4,IF('امتیاز دهی خبرگان'!$F15=4,'طیف فازی'!$D$5,'طیف فازی'!$D$6)))))</f>
        <v>1</v>
      </c>
      <c r="O15" s="17">
        <f>IF('امتیاز دهی خبرگان'!$G15=0,0,IF('امتیاز دهی خبرگان'!$G15=1,'طیف فازی'!$B$2,IF('امتیاز دهی خبرگان'!$G15=2,'طیف فازی'!$B$3,IF('امتیاز دهی خبرگان'!$G15=3,'طیف فازی'!$B$4,IF('امتیاز دهی خبرگان'!$G15=4,'طیف فازی'!$B$5,'طیف فازی'!$B$6)))))</f>
        <v>0.75</v>
      </c>
      <c r="P15" s="18">
        <f>IF('امتیاز دهی خبرگان'!$G15=0,0,IF('امتیاز دهی خبرگان'!$G15=1,'طیف فازی'!$C$2,IF('امتیاز دهی خبرگان'!$G15=2,'طیف فازی'!$C$3,IF('امتیاز دهی خبرگان'!$G15=3,'طیف فازی'!$C$4,IF('امتیاز دهی خبرگان'!$G15=4,'طیف فازی'!$C$5,'طیف فازی'!$C$6)))))</f>
        <v>1</v>
      </c>
      <c r="Q15" s="19">
        <f>IF('امتیاز دهی خبرگان'!$G15=0,0,IF('امتیاز دهی خبرگان'!$G15=1,'طیف فازی'!$D$2,IF('امتیاز دهی خبرگان'!$G15=2,'طیف فازی'!$D$3,IF('امتیاز دهی خبرگان'!$G15=3,'طیف فازی'!$D$4,IF('امتیاز دهی خبرگان'!$G15=4,'طیف فازی'!$D$5,'طیف فازی'!$D$6)))))</f>
        <v>1</v>
      </c>
      <c r="R15" s="17">
        <f>IF('امتیاز دهی خبرگان'!$H15=0,0,IF('امتیاز دهی خبرگان'!$H15=1,'طیف فازی'!$B$2,IF('امتیاز دهی خبرگان'!$H15=2,'طیف فازی'!$B$3,IF('امتیاز دهی خبرگان'!$H15=3,'طیف فازی'!$B$4,IF('امتیاز دهی خبرگان'!$H15=4,'طیف فازی'!$B$5,'طیف فازی'!$B$6)))))</f>
        <v>0.25</v>
      </c>
      <c r="S15" s="18">
        <f>IF('امتیاز دهی خبرگان'!$H15=0,0,IF('امتیاز دهی خبرگان'!$H15=1,'طیف فازی'!$C$2,IF('امتیاز دهی خبرگان'!$H15=2,'طیف فازی'!$C$3,IF('امتیاز دهی خبرگان'!$H15=3,'طیف فازی'!$C$4,IF('امتیاز دهی خبرگان'!$H15=4,'طیف فازی'!$C$5,'طیف فازی'!$C$6)))))</f>
        <v>0.5</v>
      </c>
      <c r="T15" s="19">
        <f>IF('امتیاز دهی خبرگان'!$H15=0,0,IF('امتیاز دهی خبرگان'!$H15=1,'طیف فازی'!$D$2,IF('امتیاز دهی خبرگان'!$H15=2,'طیف فازی'!$D$3,IF('امتیاز دهی خبرگان'!$H15=3,'طیف فازی'!$D$4,IF('امتیاز دهی خبرگان'!$H15=4,'طیف فازی'!$D$5,'طیف فازی'!$D$6)))))</f>
        <v>0.75</v>
      </c>
      <c r="U15" s="17">
        <f>IF('امتیاز دهی خبرگان'!$I15=0,0,IF('امتیاز دهی خبرگان'!$I15=1,'طیف فازی'!$B$2,IF('امتیاز دهی خبرگان'!$I15=2,'طیف فازی'!$B$3,IF('امتیاز دهی خبرگان'!$I15=3,'طیف فازی'!$B$4,IF('امتیاز دهی خبرگان'!$I15=4,'طیف فازی'!$B$5,'طیف فازی'!$B$6)))))</f>
        <v>0.25</v>
      </c>
      <c r="V15" s="18">
        <f>IF('امتیاز دهی خبرگان'!$I15=0,0,IF('امتیاز دهی خبرگان'!$I15=1,'طیف فازی'!$C$2,IF('امتیاز دهی خبرگان'!$I15=2,'طیف فازی'!$C$3,IF('امتیاز دهی خبرگان'!$I15=3,'طیف فازی'!$C$4,IF('امتیاز دهی خبرگان'!$I15=4,'طیف فازی'!$C$5,'طیف فازی'!$C$6)))))</f>
        <v>0.5</v>
      </c>
      <c r="W15" s="19">
        <f>IF('امتیاز دهی خبرگان'!$I15=0,0,IF('امتیاز دهی خبرگان'!$I15=1,'طیف فازی'!$D$2,IF('امتیاز دهی خبرگان'!$I15=2,'طیف فازی'!$D$3,IF('امتیاز دهی خبرگان'!$I15=3,'طیف فازی'!$D$4,IF('امتیاز دهی خبرگان'!$I15=4,'طیف فازی'!$D$5,'طیف فازی'!$D$6)))))</f>
        <v>0.75</v>
      </c>
      <c r="X15" s="17">
        <f>IF('امتیاز دهی خبرگان'!$J15=0,0,IF('امتیاز دهی خبرگان'!$J15=1,'طیف فازی'!$B$2,IF('امتیاز دهی خبرگان'!$J15=2,'طیف فازی'!$B$3,IF('امتیاز دهی خبرگان'!$J15=3,'طیف فازی'!$B$4,IF('امتیاز دهی خبرگان'!$J15=4,'طیف فازی'!$B$5,'طیف فازی'!$B$6)))))</f>
        <v>0.5</v>
      </c>
      <c r="Y15" s="18">
        <f>IF('امتیاز دهی خبرگان'!$J15=0,0,IF('امتیاز دهی خبرگان'!$J15=1,'طیف فازی'!$C$2,IF('امتیاز دهی خبرگان'!$J15=2,'طیف فازی'!$C$3,IF('امتیاز دهی خبرگان'!$J15=3,'طیف فازی'!$C$4,IF('امتیاز دهی خبرگان'!$J15=4,'طیف فازی'!$C$5,'طیف فازی'!$C$6)))))</f>
        <v>0.75</v>
      </c>
      <c r="Z15" s="19">
        <f>IF('امتیاز دهی خبرگان'!$J15=0,0,IF('امتیاز دهی خبرگان'!$J15=1,'طیف فازی'!$D$2,IF('امتیاز دهی خبرگان'!$J15=2,'طیف فازی'!$D$3,IF('امتیاز دهی خبرگان'!$J15=3,'طیف فازی'!$D$4,IF('امتیاز دهی خبرگان'!$J15=4,'طیف فازی'!$D$5,'طیف فازی'!$D$6)))))</f>
        <v>1</v>
      </c>
      <c r="AA15" s="17">
        <f>IF('امتیاز دهی خبرگان'!$K15=0,0,IF('امتیاز دهی خبرگان'!$K15=1,'طیف فازی'!$B$2,IF('امتیاز دهی خبرگان'!$K15=2,'طیف فازی'!$B$3,IF('امتیاز دهی خبرگان'!$K15=3,'طیف فازی'!$B$4,IF('امتیاز دهی خبرگان'!$K15=4,'طیف فازی'!$B$5,'طیف فازی'!$B$6)))))</f>
        <v>0.5</v>
      </c>
      <c r="AB15" s="18">
        <f>IF('امتیاز دهی خبرگان'!$K15=0,0,IF('امتیاز دهی خبرگان'!$K15=1,'طیف فازی'!$C$2,IF('امتیاز دهی خبرگان'!$K15=2,'طیف فازی'!$C$3,IF('امتیاز دهی خبرگان'!$K15=3,'طیف فازی'!$C$4,IF('امتیاز دهی خبرگان'!$K15=4,'طیف فازی'!$C$5,'طیف فازی'!$C$6)))))</f>
        <v>0.75</v>
      </c>
      <c r="AC15" s="19">
        <f>IF('امتیاز دهی خبرگان'!$K15=0,0,IF('امتیاز دهی خبرگان'!$K15=1,'طیف فازی'!$D$2,IF('امتیاز دهی خبرگان'!$K15=2,'طیف فازی'!$D$3,IF('امتیاز دهی خبرگان'!$K15=3,'طیف فازی'!$D$4,IF('امتیاز دهی خبرگان'!$K15=4,'طیف فازی'!$D$5,'طیف فازی'!$D$6)))))</f>
        <v>1</v>
      </c>
      <c r="AD15" s="17">
        <f>IF('امتیاز دهی خبرگان'!$L15=0,0,IF('امتیاز دهی خبرگان'!$L15=1,'طیف فازی'!$B$2,IF('امتیاز دهی خبرگان'!$L15=2,'طیف فازی'!$B$3,IF('امتیاز دهی خبرگان'!$L15=3,'طیف فازی'!$B$4,IF('امتیاز دهی خبرگان'!$L15=4,'طیف فازی'!$B$5,'طیف فازی'!$B$6)))))</f>
        <v>0.5</v>
      </c>
      <c r="AE15" s="18">
        <f>IF('امتیاز دهی خبرگان'!$L15=0,0,IF('امتیاز دهی خبرگان'!$L15=1,'طیف فازی'!$C$2,IF('امتیاز دهی خبرگان'!$L15=2,'طیف فازی'!$C$3,IF('امتیاز دهی خبرگان'!$L15=3,'طیف فازی'!$C$4,IF('امتیاز دهی خبرگان'!$L15=4,'طیف فازی'!$C$5,'طیف فازی'!$C$6)))))</f>
        <v>0.75</v>
      </c>
      <c r="AF15" s="19">
        <f>IF('امتیاز دهی خبرگان'!$L15=0,0,IF('امتیاز دهی خبرگان'!$L15=1,'طیف فازی'!$D$2,IF('امتیاز دهی خبرگان'!$L15=2,'طیف فازی'!$D$3,IF('امتیاز دهی خبرگان'!$L15=3,'طیف فازی'!$D$4,IF('امتیاز دهی خبرگان'!$L15=4,'طیف فازی'!$D$5,'طیف فازی'!$D$6)))))</f>
        <v>1</v>
      </c>
      <c r="AG15" s="17">
        <f>IF('امتیاز دهی خبرگان'!$M15=0,0,IF('امتیاز دهی خبرگان'!$M15=1,'طیف فازی'!$B$2,IF('امتیاز دهی خبرگان'!$M15=2,'طیف فازی'!$B$3,IF('امتیاز دهی خبرگان'!$M15=3,'طیف فازی'!$B$4,IF('امتیاز دهی خبرگان'!$M15=4,'طیف فازی'!$B$5,'طیف فازی'!$B$6)))))</f>
        <v>0.5</v>
      </c>
      <c r="AH15" s="18">
        <f>IF('امتیاز دهی خبرگان'!$M15=0,0,IF('امتیاز دهی خبرگان'!$M15=1,'طیف فازی'!$C$2,IF('امتیاز دهی خبرگان'!$M15=2,'طیف فازی'!$C$3,IF('امتیاز دهی خبرگان'!$M15=3,'طیف فازی'!$C$4,IF('امتیاز دهی خبرگان'!$M15=4,'طیف فازی'!$C$5,'طیف فازی'!$C$6)))))</f>
        <v>0.75</v>
      </c>
      <c r="AI15" s="19">
        <f>IF('امتیاز دهی خبرگان'!$M15=0,0,IF('امتیاز دهی خبرگان'!$M15=1,'طیف فازی'!$D$2,IF('امتیاز دهی خبرگان'!$M15=2,'طیف فازی'!$D$3,IF('امتیاز دهی خبرگان'!$M15=3,'طیف فازی'!$D$4,IF('امتیاز دهی خبرگان'!$M15=4,'طیف فازی'!$D$5,'طیف فازی'!$D$6)))))</f>
        <v>1</v>
      </c>
      <c r="AJ15" s="17">
        <f>IF('امتیاز دهی خبرگان'!$N15=0,0,IF('امتیاز دهی خبرگان'!$N15=1,'طیف فازی'!$B$2,IF('امتیاز دهی خبرگان'!$N15=2,'طیف فازی'!$B$3,IF('امتیاز دهی خبرگان'!$N15=3,'طیف فازی'!$B$4,IF('امتیاز دهی خبرگان'!$N15=4,'طیف فازی'!$B$5,'طیف فازی'!$B$6)))))</f>
        <v>0.75</v>
      </c>
      <c r="AK15" s="18">
        <f>IF('امتیاز دهی خبرگان'!$N15=0,0,IF('امتیاز دهی خبرگان'!$N15=1,'طیف فازی'!$C$2,IF('امتیاز دهی خبرگان'!$N15=2,'طیف فازی'!$C$3,IF('امتیاز دهی خبرگان'!$N15=3,'طیف فازی'!$C$4,IF('امتیاز دهی خبرگان'!$N15=4,'طیف فازی'!$C$5,'طیف فازی'!$C$6)))))</f>
        <v>1</v>
      </c>
      <c r="AL15" s="19">
        <f>IF('امتیاز دهی خبرگان'!$N15=0,0,IF('امتیاز دهی خبرگان'!$N15=1,'طیف فازی'!$D$2,IF('امتیاز دهی خبرگان'!$N15=2,'طیف فازی'!$D$3,IF('امتیاز دهی خبرگان'!$N15=3,'طیف فازی'!$D$4,IF('امتیاز دهی خبرگان'!$N15=4,'طیف فازی'!$D$5,'طیف فازی'!$D$6)))))</f>
        <v>1</v>
      </c>
      <c r="AM15" s="23">
        <f t="shared" si="1"/>
        <v>6.25</v>
      </c>
      <c r="AN15" s="23">
        <f t="shared" si="2"/>
        <v>9.25</v>
      </c>
      <c r="AO15" s="24">
        <f t="shared" si="3"/>
        <v>11.25</v>
      </c>
      <c r="AP15" s="25">
        <f t="shared" si="4"/>
        <v>0.52083333333333337</v>
      </c>
      <c r="AQ15" s="23">
        <f t="shared" si="5"/>
        <v>0.77083333333333337</v>
      </c>
      <c r="AR15" s="24">
        <f t="shared" si="6"/>
        <v>0.9375</v>
      </c>
      <c r="AS15" s="24">
        <f t="shared" si="7"/>
        <v>0.74305555555555569</v>
      </c>
      <c r="AT15" s="24" t="str">
        <f t="shared" si="8"/>
        <v>Pass</v>
      </c>
    </row>
    <row r="16" spans="2:47" ht="23.25" customHeight="1" thickBot="1" x14ac:dyDescent="0.85">
      <c r="B16" s="2">
        <v>14</v>
      </c>
      <c r="C16" s="17">
        <f>IF('امتیاز دهی خبرگان'!$C16=0,0,IF('امتیاز دهی خبرگان'!$C16=1,'طیف فازی'!$B$2,IF('امتیاز دهی خبرگان'!$C16=2,'طیف فازی'!$B$3,IF('امتیاز دهی خبرگان'!$C16=3,'طیف فازی'!$B$4,IF('امتیاز دهی خبرگان'!$C16=4,'طیف فازی'!$B$5,'طیف فازی'!$B$6)))))</f>
        <v>0.5</v>
      </c>
      <c r="D16" s="18">
        <f>IF('امتیاز دهی خبرگان'!$C16=0,0,IF('امتیاز دهی خبرگان'!$C16=1,'طیف فازی'!$C$2,IF('امتیاز دهی خبرگان'!$C16=2,'طیف فازی'!$C$3,IF('امتیاز دهی خبرگان'!$C16=3,'طیف فازی'!$C$4,IF('امتیاز دهی خبرگان'!$C16=4,'طیف فازی'!$C$5,'طیف فازی'!$C$6)))))</f>
        <v>0.75</v>
      </c>
      <c r="E16" s="19">
        <f>IF('امتیاز دهی خبرگان'!$C16=0,0,IF('امتیاز دهی خبرگان'!$C16=1,'طیف فازی'!$D$2,IF('امتیاز دهی خبرگان'!$C16=2,'طیف فازی'!$D$3,IF('امتیاز دهی خبرگان'!$C16=3,'طیف فازی'!$D$4,IF('امتیاز دهی خبرگان'!$C16=4,'طیف فازی'!$D$5,'طیف فازی'!$D$6)))))</f>
        <v>1</v>
      </c>
      <c r="F16" s="20">
        <f>IF('امتیاز دهی خبرگان'!$D16=0,0,IF('امتیاز دهی خبرگان'!$D16=1,'طیف فازی'!$B$2,IF('امتیاز دهی خبرگان'!$D16=2,'طیف فازی'!$B$3,IF('امتیاز دهی خبرگان'!$D16=3,'طیف فازی'!$B$4,IF('امتیاز دهی خبرگان'!$D16=4,'طیف فازی'!$B$5,'طیف فازی'!$B$6)))))</f>
        <v>0.25</v>
      </c>
      <c r="G16" s="21">
        <f>IF('امتیاز دهی خبرگان'!$D16=0,0,IF('امتیاز دهی خبرگان'!$D16=1,'طیف فازی'!$D$2,IF('امتیاز دهی خبرگان'!$D16=2,'طیف فازی'!$C$3,IF('امتیاز دهی خبرگان'!$D16=3,'طیف فازی'!$C$4,IF('امتیاز دهی خبرگان'!$D16=4,'طیف فازی'!$C$5,'طیف فازی'!$C$6)))))</f>
        <v>0.5</v>
      </c>
      <c r="H16" s="22">
        <f>IF('امتیاز دهی خبرگان'!$D16=0,0,IF('امتیاز دهی خبرگان'!$D16=1,'طیف فازی'!$D$2,IF('امتیاز دهی خبرگان'!$D16=2,'طیف فازی'!$D$3,IF('امتیاز دهی خبرگان'!$D16=3,'طیف فازی'!$D$4,IF('امتیاز دهی خبرگان'!$D16=4,'طیف فازی'!$D$5,'طیف فازی'!$D$6)))))</f>
        <v>0.75</v>
      </c>
      <c r="I16" s="17">
        <f>IF('امتیاز دهی خبرگان'!$E16=0,0,IF('امتیاز دهی خبرگان'!$E16=1,'طیف فازی'!$B$2,IF('امتیاز دهی خبرگان'!$E16=2,'طیف فازی'!$B$3,IF('امتیاز دهی خبرگان'!$E16=3,'طیف فازی'!$B$4,IF('امتیاز دهی خبرگان'!$E16=4,'طیف فازی'!$B$5,'طیف فازی'!$B$6)))))</f>
        <v>0</v>
      </c>
      <c r="J16" s="18">
        <f>IF('امتیاز دهی خبرگان'!$E16=0,0,IF('امتیاز دهی خبرگان'!$E16=1,'طیف فازی'!$C$2,IF('امتیاز دهی خبرگان'!$E16=2,'طیف فازی'!$C$3,IF('امتیاز دهی خبرگان'!$E16=3,'طیف فازی'!$C$4,IF('امتیاز دهی خبرگان'!$E16=4,'طیف فازی'!$C$5,'طیف فازی'!$C$6)))))</f>
        <v>0.25</v>
      </c>
      <c r="K16" s="19">
        <f>IF('امتیاز دهی خبرگان'!$E16=0,0,IF('امتیاز دهی خبرگان'!$E16=1,'طیف فازی'!$D$2,IF('امتیاز دهی خبرگان'!$E16=2,'طیف فازی'!$D$3,IF('امتیاز دهی خبرگان'!$E16=3,'طیف فازی'!$D$4,IF('امتیاز دهی خبرگان'!$E16=4,'طیف فازی'!$D$5,'طیف فازی'!$D$6)))))</f>
        <v>0.5</v>
      </c>
      <c r="L16" s="17">
        <f>IF('امتیاز دهی خبرگان'!$F16=0,0,IF('امتیاز دهی خبرگان'!$F16=1,'طیف فازی'!$B$2,IF('امتیاز دهی خبرگان'!$F16=2,'طیف فازی'!$B$3,IF('امتیاز دهی خبرگان'!$F16=3,'طیف فازی'!$B$4,IF('امتیاز دهی خبرگان'!$F16=4,'طیف فازی'!$B$5,'طیف فازی'!$B$6)))))</f>
        <v>0.75</v>
      </c>
      <c r="M16" s="18">
        <f>IF('امتیاز دهی خبرگان'!$F16=0,0,IF('امتیاز دهی خبرگان'!$F16=1,'طیف فازی'!$C$2,IF('امتیاز دهی خبرگان'!$F16=2,'طیف فازی'!$C$3,IF('امتیاز دهی خبرگان'!$F16=3,'طیف فازی'!$C$4,IF('امتیاز دهی خبرگان'!$F16=4,'طیف فازی'!$C$5,'طیف فازی'!$C$6)))))</f>
        <v>1</v>
      </c>
      <c r="N16" s="19">
        <f>IF('امتیاز دهی خبرگان'!$F16=0,0,IF('امتیاز دهی خبرگان'!$F16=1,'طیف فازی'!$D$2,IF('امتیاز دهی خبرگان'!$F16=2,'طیف فازی'!$D$3,IF('امتیاز دهی خبرگان'!$F16=3,'طیف فازی'!$D$4,IF('امتیاز دهی خبرگان'!$F16=4,'طیف فازی'!$D$5,'طیف فازی'!$D$6)))))</f>
        <v>1</v>
      </c>
      <c r="O16" s="17">
        <f>IF('امتیاز دهی خبرگان'!$G16=0,0,IF('امتیاز دهی خبرگان'!$G16=1,'طیف فازی'!$B$2,IF('امتیاز دهی خبرگان'!$G16=2,'طیف فازی'!$B$3,IF('امتیاز دهی خبرگان'!$G16=3,'طیف فازی'!$B$4,IF('امتیاز دهی خبرگان'!$G16=4,'طیف فازی'!$B$5,'طیف فازی'!$B$6)))))</f>
        <v>0.25</v>
      </c>
      <c r="P16" s="18">
        <f>IF('امتیاز دهی خبرگان'!$G16=0,0,IF('امتیاز دهی خبرگان'!$G16=1,'طیف فازی'!$C$2,IF('امتیاز دهی خبرگان'!$G16=2,'طیف فازی'!$C$3,IF('امتیاز دهی خبرگان'!$G16=3,'طیف فازی'!$C$4,IF('امتیاز دهی خبرگان'!$G16=4,'طیف فازی'!$C$5,'طیف فازی'!$C$6)))))</f>
        <v>0.5</v>
      </c>
      <c r="Q16" s="19">
        <f>IF('امتیاز دهی خبرگان'!$G16=0,0,IF('امتیاز دهی خبرگان'!$G16=1,'طیف فازی'!$D$2,IF('امتیاز دهی خبرگان'!$G16=2,'طیف فازی'!$D$3,IF('امتیاز دهی خبرگان'!$G16=3,'طیف فازی'!$D$4,IF('امتیاز دهی خبرگان'!$G16=4,'طیف فازی'!$D$5,'طیف فازی'!$D$6)))))</f>
        <v>0.75</v>
      </c>
      <c r="R16" s="17">
        <f>IF('امتیاز دهی خبرگان'!$H16=0,0,IF('امتیاز دهی خبرگان'!$H16=1,'طیف فازی'!$B$2,IF('امتیاز دهی خبرگان'!$H16=2,'طیف فازی'!$B$3,IF('امتیاز دهی خبرگان'!$H16=3,'طیف فازی'!$B$4,IF('امتیاز دهی خبرگان'!$H16=4,'طیف فازی'!$B$5,'طیف فازی'!$B$6)))))</f>
        <v>0.5</v>
      </c>
      <c r="S16" s="18">
        <f>IF('امتیاز دهی خبرگان'!$H16=0,0,IF('امتیاز دهی خبرگان'!$H16=1,'طیف فازی'!$C$2,IF('امتیاز دهی خبرگان'!$H16=2,'طیف فازی'!$C$3,IF('امتیاز دهی خبرگان'!$H16=3,'طیف فازی'!$C$4,IF('امتیاز دهی خبرگان'!$H16=4,'طیف فازی'!$C$5,'طیف فازی'!$C$6)))))</f>
        <v>0.75</v>
      </c>
      <c r="T16" s="19">
        <f>IF('امتیاز دهی خبرگان'!$H16=0,0,IF('امتیاز دهی خبرگان'!$H16=1,'طیف فازی'!$D$2,IF('امتیاز دهی خبرگان'!$H16=2,'طیف فازی'!$D$3,IF('امتیاز دهی خبرگان'!$H16=3,'طیف فازی'!$D$4,IF('امتیاز دهی خبرگان'!$H16=4,'طیف فازی'!$D$5,'طیف فازی'!$D$6)))))</f>
        <v>1</v>
      </c>
      <c r="U16" s="17">
        <f>IF('امتیاز دهی خبرگان'!$I16=0,0,IF('امتیاز دهی خبرگان'!$I16=1,'طیف فازی'!$B$2,IF('امتیاز دهی خبرگان'!$I16=2,'طیف فازی'!$B$3,IF('امتیاز دهی خبرگان'!$I16=3,'طیف فازی'!$B$4,IF('امتیاز دهی خبرگان'!$I16=4,'طیف فازی'!$B$5,'طیف فازی'!$B$6)))))</f>
        <v>0.25</v>
      </c>
      <c r="V16" s="18">
        <f>IF('امتیاز دهی خبرگان'!$I16=0,0,IF('امتیاز دهی خبرگان'!$I16=1,'طیف فازی'!$C$2,IF('امتیاز دهی خبرگان'!$I16=2,'طیف فازی'!$C$3,IF('امتیاز دهی خبرگان'!$I16=3,'طیف فازی'!$C$4,IF('امتیاز دهی خبرگان'!$I16=4,'طیف فازی'!$C$5,'طیف فازی'!$C$6)))))</f>
        <v>0.5</v>
      </c>
      <c r="W16" s="19">
        <f>IF('امتیاز دهی خبرگان'!$I16=0,0,IF('امتیاز دهی خبرگان'!$I16=1,'طیف فازی'!$D$2,IF('امتیاز دهی خبرگان'!$I16=2,'طیف فازی'!$D$3,IF('امتیاز دهی خبرگان'!$I16=3,'طیف فازی'!$D$4,IF('امتیاز دهی خبرگان'!$I16=4,'طیف فازی'!$D$5,'طیف فازی'!$D$6)))))</f>
        <v>0.75</v>
      </c>
      <c r="X16" s="17">
        <f>IF('امتیاز دهی خبرگان'!$J16=0,0,IF('امتیاز دهی خبرگان'!$J16=1,'طیف فازی'!$B$2,IF('امتیاز دهی خبرگان'!$J16=2,'طیف فازی'!$B$3,IF('امتیاز دهی خبرگان'!$J16=3,'طیف فازی'!$B$4,IF('امتیاز دهی خبرگان'!$J16=4,'طیف فازی'!$B$5,'طیف فازی'!$B$6)))))</f>
        <v>0.25</v>
      </c>
      <c r="Y16" s="18">
        <f>IF('امتیاز دهی خبرگان'!$J16=0,0,IF('امتیاز دهی خبرگان'!$J16=1,'طیف فازی'!$C$2,IF('امتیاز دهی خبرگان'!$J16=2,'طیف فازی'!$C$3,IF('امتیاز دهی خبرگان'!$J16=3,'طیف فازی'!$C$4,IF('امتیاز دهی خبرگان'!$J16=4,'طیف فازی'!$C$5,'طیف فازی'!$C$6)))))</f>
        <v>0.5</v>
      </c>
      <c r="Z16" s="19">
        <f>IF('امتیاز دهی خبرگان'!$J16=0,0,IF('امتیاز دهی خبرگان'!$J16=1,'طیف فازی'!$D$2,IF('امتیاز دهی خبرگان'!$J16=2,'طیف فازی'!$D$3,IF('امتیاز دهی خبرگان'!$J16=3,'طیف فازی'!$D$4,IF('امتیاز دهی خبرگان'!$J16=4,'طیف فازی'!$D$5,'طیف فازی'!$D$6)))))</f>
        <v>0.75</v>
      </c>
      <c r="AA16" s="17">
        <f>IF('امتیاز دهی خبرگان'!$K16=0,0,IF('امتیاز دهی خبرگان'!$K16=1,'طیف فازی'!$B$2,IF('امتیاز دهی خبرگان'!$K16=2,'طیف فازی'!$B$3,IF('امتیاز دهی خبرگان'!$K16=3,'طیف فازی'!$B$4,IF('امتیاز دهی خبرگان'!$K16=4,'طیف فازی'!$B$5,'طیف فازی'!$B$6)))))</f>
        <v>0</v>
      </c>
      <c r="AB16" s="18">
        <f>IF('امتیاز دهی خبرگان'!$K16=0,0,IF('امتیاز دهی خبرگان'!$K16=1,'طیف فازی'!$C$2,IF('امتیاز دهی خبرگان'!$K16=2,'طیف فازی'!$C$3,IF('امتیاز دهی خبرگان'!$K16=3,'طیف فازی'!$C$4,IF('امتیاز دهی خبرگان'!$K16=4,'طیف فازی'!$C$5,'طیف فازی'!$C$6)))))</f>
        <v>0</v>
      </c>
      <c r="AC16" s="19">
        <f>IF('امتیاز دهی خبرگان'!$K16=0,0,IF('امتیاز دهی خبرگان'!$K16=1,'طیف فازی'!$D$2,IF('امتیاز دهی خبرگان'!$K16=2,'طیف فازی'!$D$3,IF('امتیاز دهی خبرگان'!$K16=3,'طیف فازی'!$D$4,IF('امتیاز دهی خبرگان'!$K16=4,'طیف فازی'!$D$5,'طیف فازی'!$D$6)))))</f>
        <v>0.25</v>
      </c>
      <c r="AD16" s="17">
        <f>IF('امتیاز دهی خبرگان'!$L16=0,0,IF('امتیاز دهی خبرگان'!$L16=1,'طیف فازی'!$B$2,IF('امتیاز دهی خبرگان'!$L16=2,'طیف فازی'!$B$3,IF('امتیاز دهی خبرگان'!$L16=3,'طیف فازی'!$B$4,IF('امتیاز دهی خبرگان'!$L16=4,'طیف فازی'!$B$5,'طیف فازی'!$B$6)))))</f>
        <v>0</v>
      </c>
      <c r="AE16" s="18">
        <f>IF('امتیاز دهی خبرگان'!$L16=0,0,IF('امتیاز دهی خبرگان'!$L16=1,'طیف فازی'!$C$2,IF('امتیاز دهی خبرگان'!$L16=2,'طیف فازی'!$C$3,IF('امتیاز دهی خبرگان'!$L16=3,'طیف فازی'!$C$4,IF('امتیاز دهی خبرگان'!$L16=4,'طیف فازی'!$C$5,'طیف فازی'!$C$6)))))</f>
        <v>0</v>
      </c>
      <c r="AF16" s="19">
        <f>IF('امتیاز دهی خبرگان'!$L16=0,0,IF('امتیاز دهی خبرگان'!$L16=1,'طیف فازی'!$D$2,IF('امتیاز دهی خبرگان'!$L16=2,'طیف فازی'!$D$3,IF('امتیاز دهی خبرگان'!$L16=3,'طیف فازی'!$D$4,IF('امتیاز دهی خبرگان'!$L16=4,'طیف فازی'!$D$5,'طیف فازی'!$D$6)))))</f>
        <v>0.25</v>
      </c>
      <c r="AG16" s="17">
        <f>IF('امتیاز دهی خبرگان'!$M16=0,0,IF('امتیاز دهی خبرگان'!$M16=1,'طیف فازی'!$B$2,IF('امتیاز دهی خبرگان'!$M16=2,'طیف فازی'!$B$3,IF('امتیاز دهی خبرگان'!$M16=3,'طیف فازی'!$B$4,IF('امتیاز دهی خبرگان'!$M16=4,'طیف فازی'!$B$5,'طیف فازی'!$B$6)))))</f>
        <v>0</v>
      </c>
      <c r="AH16" s="18">
        <f>IF('امتیاز دهی خبرگان'!$M16=0,0,IF('امتیاز دهی خبرگان'!$M16=1,'طیف فازی'!$C$2,IF('امتیاز دهی خبرگان'!$M16=2,'طیف فازی'!$C$3,IF('امتیاز دهی خبرگان'!$M16=3,'طیف فازی'!$C$4,IF('امتیاز دهی خبرگان'!$M16=4,'طیف فازی'!$C$5,'طیف فازی'!$C$6)))))</f>
        <v>0.25</v>
      </c>
      <c r="AI16" s="19">
        <f>IF('امتیاز دهی خبرگان'!$M16=0,0,IF('امتیاز دهی خبرگان'!$M16=1,'طیف فازی'!$D$2,IF('امتیاز دهی خبرگان'!$M16=2,'طیف فازی'!$D$3,IF('امتیاز دهی خبرگان'!$M16=3,'طیف فازی'!$D$4,IF('امتیاز دهی خبرگان'!$M16=4,'طیف فازی'!$D$5,'طیف فازی'!$D$6)))))</f>
        <v>0.5</v>
      </c>
      <c r="AJ16" s="17">
        <f>IF('امتیاز دهی خبرگان'!$N16=0,0,IF('امتیاز دهی خبرگان'!$N16=1,'طیف فازی'!$B$2,IF('امتیاز دهی خبرگان'!$N16=2,'طیف فازی'!$B$3,IF('امتیاز دهی خبرگان'!$N16=3,'طیف فازی'!$B$4,IF('امتیاز دهی خبرگان'!$N16=4,'طیف فازی'!$B$5,'طیف فازی'!$B$6)))))</f>
        <v>0.5</v>
      </c>
      <c r="AK16" s="18">
        <f>IF('امتیاز دهی خبرگان'!$N16=0,0,IF('امتیاز دهی خبرگان'!$N16=1,'طیف فازی'!$C$2,IF('امتیاز دهی خبرگان'!$N16=2,'طیف فازی'!$C$3,IF('امتیاز دهی خبرگان'!$N16=3,'طیف فازی'!$C$4,IF('امتیاز دهی خبرگان'!$N16=4,'طیف فازی'!$C$5,'طیف فازی'!$C$6)))))</f>
        <v>0.75</v>
      </c>
      <c r="AL16" s="19">
        <f>IF('امتیاز دهی خبرگان'!$N16=0,0,IF('امتیاز دهی خبرگان'!$N16=1,'طیف فازی'!$D$2,IF('امتیاز دهی خبرگان'!$N16=2,'طیف فازی'!$D$3,IF('امتیاز دهی خبرگان'!$N16=3,'طیف فازی'!$D$4,IF('امتیاز دهی خبرگان'!$N16=4,'طیف فازی'!$D$5,'طیف فازی'!$D$6)))))</f>
        <v>1</v>
      </c>
      <c r="AM16" s="23">
        <f t="shared" si="1"/>
        <v>3.25</v>
      </c>
      <c r="AN16" s="23">
        <f t="shared" si="2"/>
        <v>5.75</v>
      </c>
      <c r="AO16" s="24">
        <f t="shared" si="3"/>
        <v>8.5</v>
      </c>
      <c r="AP16" s="25">
        <f t="shared" si="4"/>
        <v>0.27083333333333331</v>
      </c>
      <c r="AQ16" s="23">
        <f t="shared" si="5"/>
        <v>0.47916666666666669</v>
      </c>
      <c r="AR16" s="24">
        <f t="shared" si="6"/>
        <v>0.70833333333333337</v>
      </c>
      <c r="AS16" s="24">
        <f t="shared" si="7"/>
        <v>0.48611111111111116</v>
      </c>
      <c r="AT16" s="24" t="str">
        <f t="shared" si="8"/>
        <v>Not Pass</v>
      </c>
    </row>
    <row r="17" spans="2:46" ht="23.25" customHeight="1" thickBot="1" x14ac:dyDescent="0.85">
      <c r="B17" s="2">
        <v>15</v>
      </c>
      <c r="C17" s="17">
        <f>IF('امتیاز دهی خبرگان'!$C17=0,0,IF('امتیاز دهی خبرگان'!$C17=1,'طیف فازی'!$B$2,IF('امتیاز دهی خبرگان'!$C17=2,'طیف فازی'!$B$3,IF('امتیاز دهی خبرگان'!$C17=3,'طیف فازی'!$B$4,IF('امتیاز دهی خبرگان'!$C17=4,'طیف فازی'!$B$5,'طیف فازی'!$B$6)))))</f>
        <v>0.75</v>
      </c>
      <c r="D17" s="18">
        <f>IF('امتیاز دهی خبرگان'!$C17=0,0,IF('امتیاز دهی خبرگان'!$C17=1,'طیف فازی'!$C$2,IF('امتیاز دهی خبرگان'!$C17=2,'طیف فازی'!$C$3,IF('امتیاز دهی خبرگان'!$C17=3,'طیف فازی'!$C$4,IF('امتیاز دهی خبرگان'!$C17=4,'طیف فازی'!$C$5,'طیف فازی'!$C$6)))))</f>
        <v>1</v>
      </c>
      <c r="E17" s="19">
        <f>IF('امتیاز دهی خبرگان'!$C17=0,0,IF('امتیاز دهی خبرگان'!$C17=1,'طیف فازی'!$D$2,IF('امتیاز دهی خبرگان'!$C17=2,'طیف فازی'!$D$3,IF('امتیاز دهی خبرگان'!$C17=3,'طیف فازی'!$D$4,IF('امتیاز دهی خبرگان'!$C17=4,'طیف فازی'!$D$5,'طیف فازی'!$D$6)))))</f>
        <v>1</v>
      </c>
      <c r="F17" s="20">
        <f>IF('امتیاز دهی خبرگان'!$D17=0,0,IF('امتیاز دهی خبرگان'!$D17=1,'طیف فازی'!$B$2,IF('امتیاز دهی خبرگان'!$D17=2,'طیف فازی'!$B$3,IF('امتیاز دهی خبرگان'!$D17=3,'طیف فازی'!$B$4,IF('امتیاز دهی خبرگان'!$D17=4,'طیف فازی'!$B$5,'طیف فازی'!$B$6)))))</f>
        <v>0.5</v>
      </c>
      <c r="G17" s="21">
        <f>IF('امتیاز دهی خبرگان'!$D17=0,0,IF('امتیاز دهی خبرگان'!$D17=1,'طیف فازی'!$D$2,IF('امتیاز دهی خبرگان'!$D17=2,'طیف فازی'!$C$3,IF('امتیاز دهی خبرگان'!$D17=3,'طیف فازی'!$C$4,IF('امتیاز دهی خبرگان'!$D17=4,'طیف فازی'!$C$5,'طیف فازی'!$C$6)))))</f>
        <v>0.75</v>
      </c>
      <c r="H17" s="22">
        <f>IF('امتیاز دهی خبرگان'!$D17=0,0,IF('امتیاز دهی خبرگان'!$D17=1,'طیف فازی'!$D$2,IF('امتیاز دهی خبرگان'!$D17=2,'طیف فازی'!$D$3,IF('امتیاز دهی خبرگان'!$D17=3,'طیف فازی'!$D$4,IF('امتیاز دهی خبرگان'!$D17=4,'طیف فازی'!$D$5,'طیف فازی'!$D$6)))))</f>
        <v>1</v>
      </c>
      <c r="I17" s="17">
        <f>IF('امتیاز دهی خبرگان'!$E17=0,0,IF('امتیاز دهی خبرگان'!$E17=1,'طیف فازی'!$B$2,IF('امتیاز دهی خبرگان'!$E17=2,'طیف فازی'!$B$3,IF('امتیاز دهی خبرگان'!$E17=3,'طیف فازی'!$B$4,IF('امتیاز دهی خبرگان'!$E17=4,'طیف فازی'!$B$5,'طیف فازی'!$B$6)))))</f>
        <v>0</v>
      </c>
      <c r="J17" s="18">
        <f>IF('امتیاز دهی خبرگان'!$E17=0,0,IF('امتیاز دهی خبرگان'!$E17=1,'طیف فازی'!$C$2,IF('امتیاز دهی خبرگان'!$E17=2,'طیف فازی'!$C$3,IF('امتیاز دهی خبرگان'!$E17=3,'طیف فازی'!$C$4,IF('امتیاز دهی خبرگان'!$E17=4,'طیف فازی'!$C$5,'طیف فازی'!$C$6)))))</f>
        <v>0.25</v>
      </c>
      <c r="K17" s="19">
        <f>IF('امتیاز دهی خبرگان'!$E17=0,0,IF('امتیاز دهی خبرگان'!$E17=1,'طیف فازی'!$D$2,IF('امتیاز دهی خبرگان'!$E17=2,'طیف فازی'!$D$3,IF('امتیاز دهی خبرگان'!$E17=3,'طیف فازی'!$D$4,IF('امتیاز دهی خبرگان'!$E17=4,'طیف فازی'!$D$5,'طیف فازی'!$D$6)))))</f>
        <v>0.5</v>
      </c>
      <c r="L17" s="17">
        <f>IF('امتیاز دهی خبرگان'!$F17=0,0,IF('امتیاز دهی خبرگان'!$F17=1,'طیف فازی'!$B$2,IF('امتیاز دهی خبرگان'!$F17=2,'طیف فازی'!$B$3,IF('امتیاز دهی خبرگان'!$F17=3,'طیف فازی'!$B$4,IF('امتیاز دهی خبرگان'!$F17=4,'طیف فازی'!$B$5,'طیف فازی'!$B$6)))))</f>
        <v>0.5</v>
      </c>
      <c r="M17" s="18">
        <f>IF('امتیاز دهی خبرگان'!$F17=0,0,IF('امتیاز دهی خبرگان'!$F17=1,'طیف فازی'!$C$2,IF('امتیاز دهی خبرگان'!$F17=2,'طیف فازی'!$C$3,IF('امتیاز دهی خبرگان'!$F17=3,'طیف فازی'!$C$4,IF('امتیاز دهی خبرگان'!$F17=4,'طیف فازی'!$C$5,'طیف فازی'!$C$6)))))</f>
        <v>0.75</v>
      </c>
      <c r="N17" s="19">
        <f>IF('امتیاز دهی خبرگان'!$F17=0,0,IF('امتیاز دهی خبرگان'!$F17=1,'طیف فازی'!$D$2,IF('امتیاز دهی خبرگان'!$F17=2,'طیف فازی'!$D$3,IF('امتیاز دهی خبرگان'!$F17=3,'طیف فازی'!$D$4,IF('امتیاز دهی خبرگان'!$F17=4,'طیف فازی'!$D$5,'طیف فازی'!$D$6)))))</f>
        <v>1</v>
      </c>
      <c r="O17" s="17">
        <f>IF('امتیاز دهی خبرگان'!$G17=0,0,IF('امتیاز دهی خبرگان'!$G17=1,'طیف فازی'!$B$2,IF('امتیاز دهی خبرگان'!$G17=2,'طیف فازی'!$B$3,IF('امتیاز دهی خبرگان'!$G17=3,'طیف فازی'!$B$4,IF('امتیاز دهی خبرگان'!$G17=4,'طیف فازی'!$B$5,'طیف فازی'!$B$6)))))</f>
        <v>0.75</v>
      </c>
      <c r="P17" s="18">
        <f>IF('امتیاز دهی خبرگان'!$G17=0,0,IF('امتیاز دهی خبرگان'!$G17=1,'طیف فازی'!$C$2,IF('امتیاز دهی خبرگان'!$G17=2,'طیف فازی'!$C$3,IF('امتیاز دهی خبرگان'!$G17=3,'طیف فازی'!$C$4,IF('امتیاز دهی خبرگان'!$G17=4,'طیف فازی'!$C$5,'طیف فازی'!$C$6)))))</f>
        <v>1</v>
      </c>
      <c r="Q17" s="19">
        <f>IF('امتیاز دهی خبرگان'!$G17=0,0,IF('امتیاز دهی خبرگان'!$G17=1,'طیف فازی'!$D$2,IF('امتیاز دهی خبرگان'!$G17=2,'طیف فازی'!$D$3,IF('امتیاز دهی خبرگان'!$G17=3,'طیف فازی'!$D$4,IF('امتیاز دهی خبرگان'!$G17=4,'طیف فازی'!$D$5,'طیف فازی'!$D$6)))))</f>
        <v>1</v>
      </c>
      <c r="R17" s="17">
        <f>IF('امتیاز دهی خبرگان'!$H17=0,0,IF('امتیاز دهی خبرگان'!$H17=1,'طیف فازی'!$B$2,IF('امتیاز دهی خبرگان'!$H17=2,'طیف فازی'!$B$3,IF('امتیاز دهی خبرگان'!$H17=3,'طیف فازی'!$B$4,IF('امتیاز دهی خبرگان'!$H17=4,'طیف فازی'!$B$5,'طیف فازی'!$B$6)))))</f>
        <v>0.5</v>
      </c>
      <c r="S17" s="18">
        <f>IF('امتیاز دهی خبرگان'!$H17=0,0,IF('امتیاز دهی خبرگان'!$H17=1,'طیف فازی'!$C$2,IF('امتیاز دهی خبرگان'!$H17=2,'طیف فازی'!$C$3,IF('امتیاز دهی خبرگان'!$H17=3,'طیف فازی'!$C$4,IF('امتیاز دهی خبرگان'!$H17=4,'طیف فازی'!$C$5,'طیف فازی'!$C$6)))))</f>
        <v>0.75</v>
      </c>
      <c r="T17" s="19">
        <f>IF('امتیاز دهی خبرگان'!$H17=0,0,IF('امتیاز دهی خبرگان'!$H17=1,'طیف فازی'!$D$2,IF('امتیاز دهی خبرگان'!$H17=2,'طیف فازی'!$D$3,IF('امتیاز دهی خبرگان'!$H17=3,'طیف فازی'!$D$4,IF('امتیاز دهی خبرگان'!$H17=4,'طیف فازی'!$D$5,'طیف فازی'!$D$6)))))</f>
        <v>1</v>
      </c>
      <c r="U17" s="17">
        <f>IF('امتیاز دهی خبرگان'!$I17=0,0,IF('امتیاز دهی خبرگان'!$I17=1,'طیف فازی'!$B$2,IF('امتیاز دهی خبرگان'!$I17=2,'طیف فازی'!$B$3,IF('امتیاز دهی خبرگان'!$I17=3,'طیف فازی'!$B$4,IF('امتیاز دهی خبرگان'!$I17=4,'طیف فازی'!$B$5,'طیف فازی'!$B$6)))))</f>
        <v>0.75</v>
      </c>
      <c r="V17" s="18">
        <f>IF('امتیاز دهی خبرگان'!$I17=0,0,IF('امتیاز دهی خبرگان'!$I17=1,'طیف فازی'!$C$2,IF('امتیاز دهی خبرگان'!$I17=2,'طیف فازی'!$C$3,IF('امتیاز دهی خبرگان'!$I17=3,'طیف فازی'!$C$4,IF('امتیاز دهی خبرگان'!$I17=4,'طیف فازی'!$C$5,'طیف فازی'!$C$6)))))</f>
        <v>1</v>
      </c>
      <c r="W17" s="19">
        <f>IF('امتیاز دهی خبرگان'!$I17=0,0,IF('امتیاز دهی خبرگان'!$I17=1,'طیف فازی'!$D$2,IF('امتیاز دهی خبرگان'!$I17=2,'طیف فازی'!$D$3,IF('امتیاز دهی خبرگان'!$I17=3,'طیف فازی'!$D$4,IF('امتیاز دهی خبرگان'!$I17=4,'طیف فازی'!$D$5,'طیف فازی'!$D$6)))))</f>
        <v>1</v>
      </c>
      <c r="X17" s="17">
        <f>IF('امتیاز دهی خبرگان'!$J17=0,0,IF('امتیاز دهی خبرگان'!$J17=1,'طیف فازی'!$B$2,IF('امتیاز دهی خبرگان'!$J17=2,'طیف فازی'!$B$3,IF('امتیاز دهی خبرگان'!$J17=3,'طیف فازی'!$B$4,IF('امتیاز دهی خبرگان'!$J17=4,'طیف فازی'!$B$5,'طیف فازی'!$B$6)))))</f>
        <v>0.75</v>
      </c>
      <c r="Y17" s="18">
        <f>IF('امتیاز دهی خبرگان'!$J17=0,0,IF('امتیاز دهی خبرگان'!$J17=1,'طیف فازی'!$C$2,IF('امتیاز دهی خبرگان'!$J17=2,'طیف فازی'!$C$3,IF('امتیاز دهی خبرگان'!$J17=3,'طیف فازی'!$C$4,IF('امتیاز دهی خبرگان'!$J17=4,'طیف فازی'!$C$5,'طیف فازی'!$C$6)))))</f>
        <v>1</v>
      </c>
      <c r="Z17" s="19">
        <f>IF('امتیاز دهی خبرگان'!$J17=0,0,IF('امتیاز دهی خبرگان'!$J17=1,'طیف فازی'!$D$2,IF('امتیاز دهی خبرگان'!$J17=2,'طیف فازی'!$D$3,IF('امتیاز دهی خبرگان'!$J17=3,'طیف فازی'!$D$4,IF('امتیاز دهی خبرگان'!$J17=4,'طیف فازی'!$D$5,'طیف فازی'!$D$6)))))</f>
        <v>1</v>
      </c>
      <c r="AA17" s="17">
        <f>IF('امتیاز دهی خبرگان'!$K17=0,0,IF('امتیاز دهی خبرگان'!$K17=1,'طیف فازی'!$B$2,IF('امتیاز دهی خبرگان'!$K17=2,'طیف فازی'!$B$3,IF('امتیاز دهی خبرگان'!$K17=3,'طیف فازی'!$B$4,IF('امتیاز دهی خبرگان'!$K17=4,'طیف فازی'!$B$5,'طیف فازی'!$B$6)))))</f>
        <v>0.75</v>
      </c>
      <c r="AB17" s="18">
        <f>IF('امتیاز دهی خبرگان'!$K17=0,0,IF('امتیاز دهی خبرگان'!$K17=1,'طیف فازی'!$C$2,IF('امتیاز دهی خبرگان'!$K17=2,'طیف فازی'!$C$3,IF('امتیاز دهی خبرگان'!$K17=3,'طیف فازی'!$C$4,IF('امتیاز دهی خبرگان'!$K17=4,'طیف فازی'!$C$5,'طیف فازی'!$C$6)))))</f>
        <v>1</v>
      </c>
      <c r="AC17" s="19">
        <f>IF('امتیاز دهی خبرگان'!$K17=0,0,IF('امتیاز دهی خبرگان'!$K17=1,'طیف فازی'!$D$2,IF('امتیاز دهی خبرگان'!$K17=2,'طیف فازی'!$D$3,IF('امتیاز دهی خبرگان'!$K17=3,'طیف فازی'!$D$4,IF('امتیاز دهی خبرگان'!$K17=4,'طیف فازی'!$D$5,'طیف فازی'!$D$6)))))</f>
        <v>1</v>
      </c>
      <c r="AD17" s="17">
        <f>IF('امتیاز دهی خبرگان'!$L17=0,0,IF('امتیاز دهی خبرگان'!$L17=1,'طیف فازی'!$B$2,IF('امتیاز دهی خبرگان'!$L17=2,'طیف فازی'!$B$3,IF('امتیاز دهی خبرگان'!$L17=3,'طیف فازی'!$B$4,IF('امتیاز دهی خبرگان'!$L17=4,'طیف فازی'!$B$5,'طیف فازی'!$B$6)))))</f>
        <v>0.75</v>
      </c>
      <c r="AE17" s="18">
        <f>IF('امتیاز دهی خبرگان'!$L17=0,0,IF('امتیاز دهی خبرگان'!$L17=1,'طیف فازی'!$C$2,IF('امتیاز دهی خبرگان'!$L17=2,'طیف فازی'!$C$3,IF('امتیاز دهی خبرگان'!$L17=3,'طیف فازی'!$C$4,IF('امتیاز دهی خبرگان'!$L17=4,'طیف فازی'!$C$5,'طیف فازی'!$C$6)))))</f>
        <v>1</v>
      </c>
      <c r="AF17" s="19">
        <f>IF('امتیاز دهی خبرگان'!$L17=0,0,IF('امتیاز دهی خبرگان'!$L17=1,'طیف فازی'!$D$2,IF('امتیاز دهی خبرگان'!$L17=2,'طیف فازی'!$D$3,IF('امتیاز دهی خبرگان'!$L17=3,'طیف فازی'!$D$4,IF('امتیاز دهی خبرگان'!$L17=4,'طیف فازی'!$D$5,'طیف فازی'!$D$6)))))</f>
        <v>1</v>
      </c>
      <c r="AG17" s="17">
        <f>IF('امتیاز دهی خبرگان'!$M17=0,0,IF('امتیاز دهی خبرگان'!$M17=1,'طیف فازی'!$B$2,IF('امتیاز دهی خبرگان'!$M17=2,'طیف فازی'!$B$3,IF('امتیاز دهی خبرگان'!$M17=3,'طیف فازی'!$B$4,IF('امتیاز دهی خبرگان'!$M17=4,'طیف فازی'!$B$5,'طیف فازی'!$B$6)))))</f>
        <v>0.75</v>
      </c>
      <c r="AH17" s="18">
        <f>IF('امتیاز دهی خبرگان'!$M17=0,0,IF('امتیاز دهی خبرگان'!$M17=1,'طیف فازی'!$C$2,IF('امتیاز دهی خبرگان'!$M17=2,'طیف فازی'!$C$3,IF('امتیاز دهی خبرگان'!$M17=3,'طیف فازی'!$C$4,IF('امتیاز دهی خبرگان'!$M17=4,'طیف فازی'!$C$5,'طیف فازی'!$C$6)))))</f>
        <v>1</v>
      </c>
      <c r="AI17" s="19">
        <f>IF('امتیاز دهی خبرگان'!$M17=0,0,IF('امتیاز دهی خبرگان'!$M17=1,'طیف فازی'!$D$2,IF('امتیاز دهی خبرگان'!$M17=2,'طیف فازی'!$D$3,IF('امتیاز دهی خبرگان'!$M17=3,'طیف فازی'!$D$4,IF('امتیاز دهی خبرگان'!$M17=4,'طیف فازی'!$D$5,'طیف فازی'!$D$6)))))</f>
        <v>1</v>
      </c>
      <c r="AJ17" s="17">
        <f>IF('امتیاز دهی خبرگان'!$N17=0,0,IF('امتیاز دهی خبرگان'!$N17=1,'طیف فازی'!$B$2,IF('امتیاز دهی خبرگان'!$N17=2,'طیف فازی'!$B$3,IF('امتیاز دهی خبرگان'!$N17=3,'طیف فازی'!$B$4,IF('امتیاز دهی خبرگان'!$N17=4,'طیف فازی'!$B$5,'طیف فازی'!$B$6)))))</f>
        <v>0.75</v>
      </c>
      <c r="AK17" s="18">
        <f>IF('امتیاز دهی خبرگان'!$N17=0,0,IF('امتیاز دهی خبرگان'!$N17=1,'طیف فازی'!$C$2,IF('امتیاز دهی خبرگان'!$N17=2,'طیف فازی'!$C$3,IF('امتیاز دهی خبرگان'!$N17=3,'طیف فازی'!$C$4,IF('امتیاز دهی خبرگان'!$N17=4,'طیف فازی'!$C$5,'طیف فازی'!$C$6)))))</f>
        <v>1</v>
      </c>
      <c r="AL17" s="19">
        <f>IF('امتیاز دهی خبرگان'!$N17=0,0,IF('امتیاز دهی خبرگان'!$N17=1,'طیف فازی'!$D$2,IF('امتیاز دهی خبرگان'!$N17=2,'طیف فازی'!$D$3,IF('امتیاز دهی خبرگان'!$N17=3,'طیف فازی'!$D$4,IF('امتیاز دهی خبرگان'!$N17=4,'طیف فازی'!$D$5,'طیف فازی'!$D$6)))))</f>
        <v>1</v>
      </c>
      <c r="AM17" s="23">
        <f t="shared" si="1"/>
        <v>7.5</v>
      </c>
      <c r="AN17" s="23">
        <f t="shared" si="2"/>
        <v>10.5</v>
      </c>
      <c r="AO17" s="24">
        <f t="shared" si="3"/>
        <v>11.5</v>
      </c>
      <c r="AP17" s="25">
        <f t="shared" si="4"/>
        <v>0.625</v>
      </c>
      <c r="AQ17" s="23">
        <f t="shared" si="5"/>
        <v>0.875</v>
      </c>
      <c r="AR17" s="24">
        <f t="shared" si="6"/>
        <v>0.95833333333333337</v>
      </c>
      <c r="AS17" s="24">
        <f t="shared" si="7"/>
        <v>0.81944444444444453</v>
      </c>
      <c r="AT17" s="24" t="str">
        <f t="shared" si="8"/>
        <v>Pass</v>
      </c>
    </row>
    <row r="18" spans="2:46" ht="23.25" customHeight="1" thickBot="1" x14ac:dyDescent="0.85">
      <c r="B18" s="2">
        <v>16</v>
      </c>
      <c r="C18" s="17">
        <f>IF('امتیاز دهی خبرگان'!$C18=0,0,IF('امتیاز دهی خبرگان'!$C18=1,'طیف فازی'!$B$2,IF('امتیاز دهی خبرگان'!$C18=2,'طیف فازی'!$B$3,IF('امتیاز دهی خبرگان'!$C18=3,'طیف فازی'!$B$4,IF('امتیاز دهی خبرگان'!$C18=4,'طیف فازی'!$B$5,'طیف فازی'!$B$6)))))</f>
        <v>0.75</v>
      </c>
      <c r="D18" s="18">
        <f>IF('امتیاز دهی خبرگان'!$C18=0,0,IF('امتیاز دهی خبرگان'!$C18=1,'طیف فازی'!$C$2,IF('امتیاز دهی خبرگان'!$C18=2,'طیف فازی'!$C$3,IF('امتیاز دهی خبرگان'!$C18=3,'طیف فازی'!$C$4,IF('امتیاز دهی خبرگان'!$C18=4,'طیف فازی'!$C$5,'طیف فازی'!$C$6)))))</f>
        <v>1</v>
      </c>
      <c r="E18" s="19">
        <f>IF('امتیاز دهی خبرگان'!$C18=0,0,IF('امتیاز دهی خبرگان'!$C18=1,'طیف فازی'!$D$2,IF('امتیاز دهی خبرگان'!$C18=2,'طیف فازی'!$D$3,IF('امتیاز دهی خبرگان'!$C18=3,'طیف فازی'!$D$4,IF('امتیاز دهی خبرگان'!$C18=4,'طیف فازی'!$D$5,'طیف فازی'!$D$6)))))</f>
        <v>1</v>
      </c>
      <c r="F18" s="20">
        <f>IF('امتیاز دهی خبرگان'!$D18=0,0,IF('امتیاز دهی خبرگان'!$D18=1,'طیف فازی'!$B$2,IF('امتیاز دهی خبرگان'!$D18=2,'طیف فازی'!$B$3,IF('امتیاز دهی خبرگان'!$D18=3,'طیف فازی'!$B$4,IF('امتیاز دهی خبرگان'!$D18=4,'طیف فازی'!$B$5,'طیف فازی'!$B$6)))))</f>
        <v>0.25</v>
      </c>
      <c r="G18" s="21">
        <f>IF('امتیاز دهی خبرگان'!$D18=0,0,IF('امتیاز دهی خبرگان'!$D18=1,'طیف فازی'!$D$2,IF('امتیاز دهی خبرگان'!$D18=2,'طیف فازی'!$C$3,IF('امتیاز دهی خبرگان'!$D18=3,'طیف فازی'!$C$4,IF('امتیاز دهی خبرگان'!$D18=4,'طیف فازی'!$C$5,'طیف فازی'!$C$6)))))</f>
        <v>0.5</v>
      </c>
      <c r="H18" s="22">
        <f>IF('امتیاز دهی خبرگان'!$D18=0,0,IF('امتیاز دهی خبرگان'!$D18=1,'طیف فازی'!$D$2,IF('امتیاز دهی خبرگان'!$D18=2,'طیف فازی'!$D$3,IF('امتیاز دهی خبرگان'!$D18=3,'طیف فازی'!$D$4,IF('امتیاز دهی خبرگان'!$D18=4,'طیف فازی'!$D$5,'طیف فازی'!$D$6)))))</f>
        <v>0.75</v>
      </c>
      <c r="I18" s="17">
        <f>IF('امتیاز دهی خبرگان'!$E18=0,0,IF('امتیاز دهی خبرگان'!$E18=1,'طیف فازی'!$B$2,IF('امتیاز دهی خبرگان'!$E18=2,'طیف فازی'!$B$3,IF('امتیاز دهی خبرگان'!$E18=3,'طیف فازی'!$B$4,IF('امتیاز دهی خبرگان'!$E18=4,'طیف فازی'!$B$5,'طیف فازی'!$B$6)))))</f>
        <v>0.5</v>
      </c>
      <c r="J18" s="18">
        <f>IF('امتیاز دهی خبرگان'!$E18=0,0,IF('امتیاز دهی خبرگان'!$E18=1,'طیف فازی'!$C$2,IF('امتیاز دهی خبرگان'!$E18=2,'طیف فازی'!$C$3,IF('امتیاز دهی خبرگان'!$E18=3,'طیف فازی'!$C$4,IF('امتیاز دهی خبرگان'!$E18=4,'طیف فازی'!$C$5,'طیف فازی'!$C$6)))))</f>
        <v>0.75</v>
      </c>
      <c r="K18" s="19">
        <f>IF('امتیاز دهی خبرگان'!$E18=0,0,IF('امتیاز دهی خبرگان'!$E18=1,'طیف فازی'!$D$2,IF('امتیاز دهی خبرگان'!$E18=2,'طیف فازی'!$D$3,IF('امتیاز دهی خبرگان'!$E18=3,'طیف فازی'!$D$4,IF('امتیاز دهی خبرگان'!$E18=4,'طیف فازی'!$D$5,'طیف فازی'!$D$6)))))</f>
        <v>1</v>
      </c>
      <c r="L18" s="17">
        <f>IF('امتیاز دهی خبرگان'!$F18=0,0,IF('امتیاز دهی خبرگان'!$F18=1,'طیف فازی'!$B$2,IF('امتیاز دهی خبرگان'!$F18=2,'طیف فازی'!$B$3,IF('امتیاز دهی خبرگان'!$F18=3,'طیف فازی'!$B$4,IF('امتیاز دهی خبرگان'!$F18=4,'طیف فازی'!$B$5,'طیف فازی'!$B$6)))))</f>
        <v>0.5</v>
      </c>
      <c r="M18" s="18">
        <f>IF('امتیاز دهی خبرگان'!$F18=0,0,IF('امتیاز دهی خبرگان'!$F18=1,'طیف فازی'!$C$2,IF('امتیاز دهی خبرگان'!$F18=2,'طیف فازی'!$C$3,IF('امتیاز دهی خبرگان'!$F18=3,'طیف فازی'!$C$4,IF('امتیاز دهی خبرگان'!$F18=4,'طیف فازی'!$C$5,'طیف فازی'!$C$6)))))</f>
        <v>0.75</v>
      </c>
      <c r="N18" s="19">
        <f>IF('امتیاز دهی خبرگان'!$F18=0,0,IF('امتیاز دهی خبرگان'!$F18=1,'طیف فازی'!$D$2,IF('امتیاز دهی خبرگان'!$F18=2,'طیف فازی'!$D$3,IF('امتیاز دهی خبرگان'!$F18=3,'طیف فازی'!$D$4,IF('امتیاز دهی خبرگان'!$F18=4,'طیف فازی'!$D$5,'طیف فازی'!$D$6)))))</f>
        <v>1</v>
      </c>
      <c r="O18" s="17">
        <f>IF('امتیاز دهی خبرگان'!$G18=0,0,IF('امتیاز دهی خبرگان'!$G18=1,'طیف فازی'!$B$2,IF('امتیاز دهی خبرگان'!$G18=2,'طیف فازی'!$B$3,IF('امتیاز دهی خبرگان'!$G18=3,'طیف فازی'!$B$4,IF('امتیاز دهی خبرگان'!$G18=4,'طیف فازی'!$B$5,'طیف فازی'!$B$6)))))</f>
        <v>0.75</v>
      </c>
      <c r="P18" s="18">
        <f>IF('امتیاز دهی خبرگان'!$G18=0,0,IF('امتیاز دهی خبرگان'!$G18=1,'طیف فازی'!$C$2,IF('امتیاز دهی خبرگان'!$G18=2,'طیف فازی'!$C$3,IF('امتیاز دهی خبرگان'!$G18=3,'طیف فازی'!$C$4,IF('امتیاز دهی خبرگان'!$G18=4,'طیف فازی'!$C$5,'طیف فازی'!$C$6)))))</f>
        <v>1</v>
      </c>
      <c r="Q18" s="19">
        <f>IF('امتیاز دهی خبرگان'!$G18=0,0,IF('امتیاز دهی خبرگان'!$G18=1,'طیف فازی'!$D$2,IF('امتیاز دهی خبرگان'!$G18=2,'طیف فازی'!$D$3,IF('امتیاز دهی خبرگان'!$G18=3,'طیف فازی'!$D$4,IF('امتیاز دهی خبرگان'!$G18=4,'طیف فازی'!$D$5,'طیف فازی'!$D$6)))))</f>
        <v>1</v>
      </c>
      <c r="R18" s="17">
        <f>IF('امتیاز دهی خبرگان'!$H18=0,0,IF('امتیاز دهی خبرگان'!$H18=1,'طیف فازی'!$B$2,IF('امتیاز دهی خبرگان'!$H18=2,'طیف فازی'!$B$3,IF('امتیاز دهی خبرگان'!$H18=3,'طیف فازی'!$B$4,IF('امتیاز دهی خبرگان'!$H18=4,'طیف فازی'!$B$5,'طیف فازی'!$B$6)))))</f>
        <v>0.25</v>
      </c>
      <c r="S18" s="18">
        <f>IF('امتیاز دهی خبرگان'!$H18=0,0,IF('امتیاز دهی خبرگان'!$H18=1,'طیف فازی'!$C$2,IF('امتیاز دهی خبرگان'!$H18=2,'طیف فازی'!$C$3,IF('امتیاز دهی خبرگان'!$H18=3,'طیف فازی'!$C$4,IF('امتیاز دهی خبرگان'!$H18=4,'طیف فازی'!$C$5,'طیف فازی'!$C$6)))))</f>
        <v>0.5</v>
      </c>
      <c r="T18" s="19">
        <f>IF('امتیاز دهی خبرگان'!$H18=0,0,IF('امتیاز دهی خبرگان'!$H18=1,'طیف فازی'!$D$2,IF('امتیاز دهی خبرگان'!$H18=2,'طیف فازی'!$D$3,IF('امتیاز دهی خبرگان'!$H18=3,'طیف فازی'!$D$4,IF('امتیاز دهی خبرگان'!$H18=4,'طیف فازی'!$D$5,'طیف فازی'!$D$6)))))</f>
        <v>0.75</v>
      </c>
      <c r="U18" s="17">
        <f>IF('امتیاز دهی خبرگان'!$I18=0,0,IF('امتیاز دهی خبرگان'!$I18=1,'طیف فازی'!$B$2,IF('امتیاز دهی خبرگان'!$I18=2,'طیف فازی'!$B$3,IF('امتیاز دهی خبرگان'!$I18=3,'طیف فازی'!$B$4,IF('امتیاز دهی خبرگان'!$I18=4,'طیف فازی'!$B$5,'طیف فازی'!$B$6)))))</f>
        <v>0.5</v>
      </c>
      <c r="V18" s="18">
        <f>IF('امتیاز دهی خبرگان'!$I18=0,0,IF('امتیاز دهی خبرگان'!$I18=1,'طیف فازی'!$C$2,IF('امتیاز دهی خبرگان'!$I18=2,'طیف فازی'!$C$3,IF('امتیاز دهی خبرگان'!$I18=3,'طیف فازی'!$C$4,IF('امتیاز دهی خبرگان'!$I18=4,'طیف فازی'!$C$5,'طیف فازی'!$C$6)))))</f>
        <v>0.75</v>
      </c>
      <c r="W18" s="19">
        <f>IF('امتیاز دهی خبرگان'!$I18=0,0,IF('امتیاز دهی خبرگان'!$I18=1,'طیف فازی'!$D$2,IF('امتیاز دهی خبرگان'!$I18=2,'طیف فازی'!$D$3,IF('امتیاز دهی خبرگان'!$I18=3,'طیف فازی'!$D$4,IF('امتیاز دهی خبرگان'!$I18=4,'طیف فازی'!$D$5,'طیف فازی'!$D$6)))))</f>
        <v>1</v>
      </c>
      <c r="X18" s="17">
        <f>IF('امتیاز دهی خبرگان'!$J18=0,0,IF('امتیاز دهی خبرگان'!$J18=1,'طیف فازی'!$B$2,IF('امتیاز دهی خبرگان'!$J18=2,'طیف فازی'!$B$3,IF('امتیاز دهی خبرگان'!$J18=3,'طیف فازی'!$B$4,IF('امتیاز دهی خبرگان'!$J18=4,'طیف فازی'!$B$5,'طیف فازی'!$B$6)))))</f>
        <v>0.5</v>
      </c>
      <c r="Y18" s="18">
        <f>IF('امتیاز دهی خبرگان'!$J18=0,0,IF('امتیاز دهی خبرگان'!$J18=1,'طیف فازی'!$C$2,IF('امتیاز دهی خبرگان'!$J18=2,'طیف فازی'!$C$3,IF('امتیاز دهی خبرگان'!$J18=3,'طیف فازی'!$C$4,IF('امتیاز دهی خبرگان'!$J18=4,'طیف فازی'!$C$5,'طیف فازی'!$C$6)))))</f>
        <v>0.75</v>
      </c>
      <c r="Z18" s="19">
        <f>IF('امتیاز دهی خبرگان'!$J18=0,0,IF('امتیاز دهی خبرگان'!$J18=1,'طیف فازی'!$D$2,IF('امتیاز دهی خبرگان'!$J18=2,'طیف فازی'!$D$3,IF('امتیاز دهی خبرگان'!$J18=3,'طیف فازی'!$D$4,IF('امتیاز دهی خبرگان'!$J18=4,'طیف فازی'!$D$5,'طیف فازی'!$D$6)))))</f>
        <v>1</v>
      </c>
      <c r="AA18" s="17">
        <f>IF('امتیاز دهی خبرگان'!$K18=0,0,IF('امتیاز دهی خبرگان'!$K18=1,'طیف فازی'!$B$2,IF('امتیاز دهی خبرگان'!$K18=2,'طیف فازی'!$B$3,IF('امتیاز دهی خبرگان'!$K18=3,'طیف فازی'!$B$4,IF('امتیاز دهی خبرگان'!$K18=4,'طیف فازی'!$B$5,'طیف فازی'!$B$6)))))</f>
        <v>0.5</v>
      </c>
      <c r="AB18" s="18">
        <f>IF('امتیاز دهی خبرگان'!$K18=0,0,IF('امتیاز دهی خبرگان'!$K18=1,'طیف فازی'!$C$2,IF('امتیاز دهی خبرگان'!$K18=2,'طیف فازی'!$C$3,IF('امتیاز دهی خبرگان'!$K18=3,'طیف فازی'!$C$4,IF('امتیاز دهی خبرگان'!$K18=4,'طیف فازی'!$C$5,'طیف فازی'!$C$6)))))</f>
        <v>0.75</v>
      </c>
      <c r="AC18" s="19">
        <f>IF('امتیاز دهی خبرگان'!$K18=0,0,IF('امتیاز دهی خبرگان'!$K18=1,'طیف فازی'!$D$2,IF('امتیاز دهی خبرگان'!$K18=2,'طیف فازی'!$D$3,IF('امتیاز دهی خبرگان'!$K18=3,'طیف فازی'!$D$4,IF('امتیاز دهی خبرگان'!$K18=4,'طیف فازی'!$D$5,'طیف فازی'!$D$6)))))</f>
        <v>1</v>
      </c>
      <c r="AD18" s="17">
        <f>IF('امتیاز دهی خبرگان'!$L18=0,0,IF('امتیاز دهی خبرگان'!$L18=1,'طیف فازی'!$B$2,IF('امتیاز دهی خبرگان'!$L18=2,'طیف فازی'!$B$3,IF('امتیاز دهی خبرگان'!$L18=3,'طیف فازی'!$B$4,IF('امتیاز دهی خبرگان'!$L18=4,'طیف فازی'!$B$5,'طیف فازی'!$B$6)))))</f>
        <v>0.5</v>
      </c>
      <c r="AE18" s="18">
        <f>IF('امتیاز دهی خبرگان'!$L18=0,0,IF('امتیاز دهی خبرگان'!$L18=1,'طیف فازی'!$C$2,IF('امتیاز دهی خبرگان'!$L18=2,'طیف فازی'!$C$3,IF('امتیاز دهی خبرگان'!$L18=3,'طیف فازی'!$C$4,IF('امتیاز دهی خبرگان'!$L18=4,'طیف فازی'!$C$5,'طیف فازی'!$C$6)))))</f>
        <v>0.75</v>
      </c>
      <c r="AF18" s="19">
        <f>IF('امتیاز دهی خبرگان'!$L18=0,0,IF('امتیاز دهی خبرگان'!$L18=1,'طیف فازی'!$D$2,IF('امتیاز دهی خبرگان'!$L18=2,'طیف فازی'!$D$3,IF('امتیاز دهی خبرگان'!$L18=3,'طیف فازی'!$D$4,IF('امتیاز دهی خبرگان'!$L18=4,'طیف فازی'!$D$5,'طیف فازی'!$D$6)))))</f>
        <v>1</v>
      </c>
      <c r="AG18" s="17">
        <f>IF('امتیاز دهی خبرگان'!$M18=0,0,IF('امتیاز دهی خبرگان'!$M18=1,'طیف فازی'!$B$2,IF('امتیاز دهی خبرگان'!$M18=2,'طیف فازی'!$B$3,IF('امتیاز دهی خبرگان'!$M18=3,'طیف فازی'!$B$4,IF('امتیاز دهی خبرگان'!$M18=4,'طیف فازی'!$B$5,'طیف فازی'!$B$6)))))</f>
        <v>0.5</v>
      </c>
      <c r="AH18" s="18">
        <f>IF('امتیاز دهی خبرگان'!$M18=0,0,IF('امتیاز دهی خبرگان'!$M18=1,'طیف فازی'!$C$2,IF('امتیاز دهی خبرگان'!$M18=2,'طیف فازی'!$C$3,IF('امتیاز دهی خبرگان'!$M18=3,'طیف فازی'!$C$4,IF('امتیاز دهی خبرگان'!$M18=4,'طیف فازی'!$C$5,'طیف فازی'!$C$6)))))</f>
        <v>0.75</v>
      </c>
      <c r="AI18" s="19">
        <f>IF('امتیاز دهی خبرگان'!$M18=0,0,IF('امتیاز دهی خبرگان'!$M18=1,'طیف فازی'!$D$2,IF('امتیاز دهی خبرگان'!$M18=2,'طیف فازی'!$D$3,IF('امتیاز دهی خبرگان'!$M18=3,'طیف فازی'!$D$4,IF('امتیاز دهی خبرگان'!$M18=4,'طیف فازی'!$D$5,'طیف فازی'!$D$6)))))</f>
        <v>1</v>
      </c>
      <c r="AJ18" s="17">
        <f>IF('امتیاز دهی خبرگان'!$N18=0,0,IF('امتیاز دهی خبرگان'!$N18=1,'طیف فازی'!$B$2,IF('امتیاز دهی خبرگان'!$N18=2,'طیف فازی'!$B$3,IF('امتیاز دهی خبرگان'!$N18=3,'طیف فازی'!$B$4,IF('امتیاز دهی خبرگان'!$N18=4,'طیف فازی'!$B$5,'طیف فازی'!$B$6)))))</f>
        <v>0.5</v>
      </c>
      <c r="AK18" s="18">
        <f>IF('امتیاز دهی خبرگان'!$N18=0,0,IF('امتیاز دهی خبرگان'!$N18=1,'طیف فازی'!$C$2,IF('امتیاز دهی خبرگان'!$N18=2,'طیف فازی'!$C$3,IF('امتیاز دهی خبرگان'!$N18=3,'طیف فازی'!$C$4,IF('امتیاز دهی خبرگان'!$N18=4,'طیف فازی'!$C$5,'طیف فازی'!$C$6)))))</f>
        <v>0.75</v>
      </c>
      <c r="AL18" s="19">
        <f>IF('امتیاز دهی خبرگان'!$N18=0,0,IF('امتیاز دهی خبرگان'!$N18=1,'طیف فازی'!$D$2,IF('امتیاز دهی خبرگان'!$N18=2,'طیف فازی'!$D$3,IF('امتیاز دهی خبرگان'!$N18=3,'طیف فازی'!$D$4,IF('امتیاز دهی خبرگان'!$N18=4,'طیف فازی'!$D$5,'طیف فازی'!$D$6)))))</f>
        <v>1</v>
      </c>
      <c r="AM18" s="23">
        <f t="shared" si="1"/>
        <v>6</v>
      </c>
      <c r="AN18" s="23">
        <f t="shared" si="2"/>
        <v>9</v>
      </c>
      <c r="AO18" s="24">
        <f t="shared" si="3"/>
        <v>11.5</v>
      </c>
      <c r="AP18" s="25">
        <f t="shared" si="4"/>
        <v>0.5</v>
      </c>
      <c r="AQ18" s="23">
        <f t="shared" si="5"/>
        <v>0.75</v>
      </c>
      <c r="AR18" s="24">
        <f t="shared" si="6"/>
        <v>0.95833333333333337</v>
      </c>
      <c r="AS18" s="24">
        <f t="shared" si="7"/>
        <v>0.73611111111111116</v>
      </c>
      <c r="AT18" s="24" t="str">
        <f t="shared" si="8"/>
        <v>Pass</v>
      </c>
    </row>
    <row r="19" spans="2:46" ht="23.25" customHeight="1" thickBot="1" x14ac:dyDescent="0.85">
      <c r="B19" s="2">
        <v>17</v>
      </c>
      <c r="C19" s="17">
        <f>IF('امتیاز دهی خبرگان'!$C19=0,0,IF('امتیاز دهی خبرگان'!$C19=1,'طیف فازی'!$B$2,IF('امتیاز دهی خبرگان'!$C19=2,'طیف فازی'!$B$3,IF('امتیاز دهی خبرگان'!$C19=3,'طیف فازی'!$B$4,IF('امتیاز دهی خبرگان'!$C19=4,'طیف فازی'!$B$5,'طیف فازی'!$B$6)))))</f>
        <v>0.75</v>
      </c>
      <c r="D19" s="18">
        <f>IF('امتیاز دهی خبرگان'!$C19=0,0,IF('امتیاز دهی خبرگان'!$C19=1,'طیف فازی'!$C$2,IF('امتیاز دهی خبرگان'!$C19=2,'طیف فازی'!$C$3,IF('امتیاز دهی خبرگان'!$C19=3,'طیف فازی'!$C$4,IF('امتیاز دهی خبرگان'!$C19=4,'طیف فازی'!$C$5,'طیف فازی'!$C$6)))))</f>
        <v>1</v>
      </c>
      <c r="E19" s="19">
        <f>IF('امتیاز دهی خبرگان'!$C19=0,0,IF('امتیاز دهی خبرگان'!$C19=1,'طیف فازی'!$D$2,IF('امتیاز دهی خبرگان'!$C19=2,'طیف فازی'!$D$3,IF('امتیاز دهی خبرگان'!$C19=3,'طیف فازی'!$D$4,IF('امتیاز دهی خبرگان'!$C19=4,'طیف فازی'!$D$5,'طیف فازی'!$D$6)))))</f>
        <v>1</v>
      </c>
      <c r="F19" s="20">
        <f>IF('امتیاز دهی خبرگان'!$D19=0,0,IF('امتیاز دهی خبرگان'!$D19=1,'طیف فازی'!$B$2,IF('امتیاز دهی خبرگان'!$D19=2,'طیف فازی'!$B$3,IF('امتیاز دهی خبرگان'!$D19=3,'طیف فازی'!$B$4,IF('امتیاز دهی خبرگان'!$D19=4,'طیف فازی'!$B$5,'طیف فازی'!$B$6)))))</f>
        <v>0</v>
      </c>
      <c r="G19" s="21">
        <f>IF('امتیاز دهی خبرگان'!$D19=0,0,IF('امتیاز دهی خبرگان'!$D19=1,'طیف فازی'!$D$2,IF('امتیاز دهی خبرگان'!$D19=2,'طیف فازی'!$C$3,IF('امتیاز دهی خبرگان'!$D19=3,'طیف فازی'!$C$4,IF('امتیاز دهی خبرگان'!$D19=4,'طیف فازی'!$C$5,'طیف فازی'!$C$6)))))</f>
        <v>0.25</v>
      </c>
      <c r="H19" s="22">
        <f>IF('امتیاز دهی خبرگان'!$D19=0,0,IF('امتیاز دهی خبرگان'!$D19=1,'طیف فازی'!$D$2,IF('امتیاز دهی خبرگان'!$D19=2,'طیف فازی'!$D$3,IF('امتیاز دهی خبرگان'!$D19=3,'طیف فازی'!$D$4,IF('امتیاز دهی خبرگان'!$D19=4,'طیف فازی'!$D$5,'طیف فازی'!$D$6)))))</f>
        <v>0.5</v>
      </c>
      <c r="I19" s="17">
        <f>IF('امتیاز دهی خبرگان'!$E19=0,0,IF('امتیاز دهی خبرگان'!$E19=1,'طیف فازی'!$B$2,IF('امتیاز دهی خبرگان'!$E19=2,'طیف فازی'!$B$3,IF('امتیاز دهی خبرگان'!$E19=3,'طیف فازی'!$B$4,IF('امتیاز دهی خبرگان'!$E19=4,'طیف فازی'!$B$5,'طیف فازی'!$B$6)))))</f>
        <v>0</v>
      </c>
      <c r="J19" s="18">
        <f>IF('امتیاز دهی خبرگان'!$E19=0,0,IF('امتیاز دهی خبرگان'!$E19=1,'طیف فازی'!$C$2,IF('امتیاز دهی خبرگان'!$E19=2,'طیف فازی'!$C$3,IF('امتیاز دهی خبرگان'!$E19=3,'طیف فازی'!$C$4,IF('امتیاز دهی خبرگان'!$E19=4,'طیف فازی'!$C$5,'طیف فازی'!$C$6)))))</f>
        <v>0</v>
      </c>
      <c r="K19" s="19">
        <f>IF('امتیاز دهی خبرگان'!$E19=0,0,IF('امتیاز دهی خبرگان'!$E19=1,'طیف فازی'!$D$2,IF('امتیاز دهی خبرگان'!$E19=2,'طیف فازی'!$D$3,IF('امتیاز دهی خبرگان'!$E19=3,'طیف فازی'!$D$4,IF('امتیاز دهی خبرگان'!$E19=4,'طیف فازی'!$D$5,'طیف فازی'!$D$6)))))</f>
        <v>0.25</v>
      </c>
      <c r="L19" s="17">
        <f>IF('امتیاز دهی خبرگان'!$F19=0,0,IF('امتیاز دهی خبرگان'!$F19=1,'طیف فازی'!$B$2,IF('امتیاز دهی خبرگان'!$F19=2,'طیف فازی'!$B$3,IF('امتیاز دهی خبرگان'!$F19=3,'طیف فازی'!$B$4,IF('امتیاز دهی خبرگان'!$F19=4,'طیف فازی'!$B$5,'طیف فازی'!$B$6)))))</f>
        <v>0.75</v>
      </c>
      <c r="M19" s="18">
        <f>IF('امتیاز دهی خبرگان'!$F19=0,0,IF('امتیاز دهی خبرگان'!$F19=1,'طیف فازی'!$C$2,IF('امتیاز دهی خبرگان'!$F19=2,'طیف فازی'!$C$3,IF('امتیاز دهی خبرگان'!$F19=3,'طیف فازی'!$C$4,IF('امتیاز دهی خبرگان'!$F19=4,'طیف فازی'!$C$5,'طیف فازی'!$C$6)))))</f>
        <v>1</v>
      </c>
      <c r="N19" s="19">
        <f>IF('امتیاز دهی خبرگان'!$F19=0,0,IF('امتیاز دهی خبرگان'!$F19=1,'طیف فازی'!$D$2,IF('امتیاز دهی خبرگان'!$F19=2,'طیف فازی'!$D$3,IF('امتیاز دهی خبرگان'!$F19=3,'طیف فازی'!$D$4,IF('امتیاز دهی خبرگان'!$F19=4,'طیف فازی'!$D$5,'طیف فازی'!$D$6)))))</f>
        <v>1</v>
      </c>
      <c r="O19" s="17">
        <f>IF('امتیاز دهی خبرگان'!$G19=0,0,IF('امتیاز دهی خبرگان'!$G19=1,'طیف فازی'!$B$2,IF('امتیاز دهی خبرگان'!$G19=2,'طیف فازی'!$B$3,IF('امتیاز دهی خبرگان'!$G19=3,'طیف فازی'!$B$4,IF('امتیاز دهی خبرگان'!$G19=4,'طیف فازی'!$B$5,'طیف فازی'!$B$6)))))</f>
        <v>0.75</v>
      </c>
      <c r="P19" s="18">
        <f>IF('امتیاز دهی خبرگان'!$G19=0,0,IF('امتیاز دهی خبرگان'!$G19=1,'طیف فازی'!$C$2,IF('امتیاز دهی خبرگان'!$G19=2,'طیف فازی'!$C$3,IF('امتیاز دهی خبرگان'!$G19=3,'طیف فازی'!$C$4,IF('امتیاز دهی خبرگان'!$G19=4,'طیف فازی'!$C$5,'طیف فازی'!$C$6)))))</f>
        <v>1</v>
      </c>
      <c r="Q19" s="19">
        <f>IF('امتیاز دهی خبرگان'!$G19=0,0,IF('امتیاز دهی خبرگان'!$G19=1,'طیف فازی'!$D$2,IF('امتیاز دهی خبرگان'!$G19=2,'طیف فازی'!$D$3,IF('امتیاز دهی خبرگان'!$G19=3,'طیف فازی'!$D$4,IF('امتیاز دهی خبرگان'!$G19=4,'طیف فازی'!$D$5,'طیف فازی'!$D$6)))))</f>
        <v>1</v>
      </c>
      <c r="R19" s="17">
        <f>IF('امتیاز دهی خبرگان'!$H19=0,0,IF('امتیاز دهی خبرگان'!$H19=1,'طیف فازی'!$B$2,IF('امتیاز دهی خبرگان'!$H19=2,'طیف فازی'!$B$3,IF('امتیاز دهی خبرگان'!$H19=3,'طیف فازی'!$B$4,IF('امتیاز دهی خبرگان'!$H19=4,'طیف فازی'!$B$5,'طیف فازی'!$B$6)))))</f>
        <v>0.5</v>
      </c>
      <c r="S19" s="18">
        <f>IF('امتیاز دهی خبرگان'!$H19=0,0,IF('امتیاز دهی خبرگان'!$H19=1,'طیف فازی'!$C$2,IF('امتیاز دهی خبرگان'!$H19=2,'طیف فازی'!$C$3,IF('امتیاز دهی خبرگان'!$H19=3,'طیف فازی'!$C$4,IF('امتیاز دهی خبرگان'!$H19=4,'طیف فازی'!$C$5,'طیف فازی'!$C$6)))))</f>
        <v>0.75</v>
      </c>
      <c r="T19" s="19">
        <f>IF('امتیاز دهی خبرگان'!$H19=0,0,IF('امتیاز دهی خبرگان'!$H19=1,'طیف فازی'!$D$2,IF('امتیاز دهی خبرگان'!$H19=2,'طیف فازی'!$D$3,IF('امتیاز دهی خبرگان'!$H19=3,'طیف فازی'!$D$4,IF('امتیاز دهی خبرگان'!$H19=4,'طیف فازی'!$D$5,'طیف فازی'!$D$6)))))</f>
        <v>1</v>
      </c>
      <c r="U19" s="17">
        <f>IF('امتیاز دهی خبرگان'!$I19=0,0,IF('امتیاز دهی خبرگان'!$I19=1,'طیف فازی'!$B$2,IF('امتیاز دهی خبرگان'!$I19=2,'طیف فازی'!$B$3,IF('امتیاز دهی خبرگان'!$I19=3,'طیف فازی'!$B$4,IF('امتیاز دهی خبرگان'!$I19=4,'طیف فازی'!$B$5,'طیف فازی'!$B$6)))))</f>
        <v>0.75</v>
      </c>
      <c r="V19" s="18">
        <f>IF('امتیاز دهی خبرگان'!$I19=0,0,IF('امتیاز دهی خبرگان'!$I19=1,'طیف فازی'!$C$2,IF('امتیاز دهی خبرگان'!$I19=2,'طیف فازی'!$C$3,IF('امتیاز دهی خبرگان'!$I19=3,'طیف فازی'!$C$4,IF('امتیاز دهی خبرگان'!$I19=4,'طیف فازی'!$C$5,'طیف فازی'!$C$6)))))</f>
        <v>1</v>
      </c>
      <c r="W19" s="19">
        <f>IF('امتیاز دهی خبرگان'!$I19=0,0,IF('امتیاز دهی خبرگان'!$I19=1,'طیف فازی'!$D$2,IF('امتیاز دهی خبرگان'!$I19=2,'طیف فازی'!$D$3,IF('امتیاز دهی خبرگان'!$I19=3,'طیف فازی'!$D$4,IF('امتیاز دهی خبرگان'!$I19=4,'طیف فازی'!$D$5,'طیف فازی'!$D$6)))))</f>
        <v>1</v>
      </c>
      <c r="X19" s="17">
        <f>IF('امتیاز دهی خبرگان'!$J19=0,0,IF('امتیاز دهی خبرگان'!$J19=1,'طیف فازی'!$B$2,IF('امتیاز دهی خبرگان'!$J19=2,'طیف فازی'!$B$3,IF('امتیاز دهی خبرگان'!$J19=3,'طیف فازی'!$B$4,IF('امتیاز دهی خبرگان'!$J19=4,'طیف فازی'!$B$5,'طیف فازی'!$B$6)))))</f>
        <v>0.5</v>
      </c>
      <c r="Y19" s="18">
        <f>IF('امتیاز دهی خبرگان'!$J19=0,0,IF('امتیاز دهی خبرگان'!$J19=1,'طیف فازی'!$C$2,IF('امتیاز دهی خبرگان'!$J19=2,'طیف فازی'!$C$3,IF('امتیاز دهی خبرگان'!$J19=3,'طیف فازی'!$C$4,IF('امتیاز دهی خبرگان'!$J19=4,'طیف فازی'!$C$5,'طیف فازی'!$C$6)))))</f>
        <v>0.75</v>
      </c>
      <c r="Z19" s="19">
        <f>IF('امتیاز دهی خبرگان'!$J19=0,0,IF('امتیاز دهی خبرگان'!$J19=1,'طیف فازی'!$D$2,IF('امتیاز دهی خبرگان'!$J19=2,'طیف فازی'!$D$3,IF('امتیاز دهی خبرگان'!$J19=3,'طیف فازی'!$D$4,IF('امتیاز دهی خبرگان'!$J19=4,'طیف فازی'!$D$5,'طیف فازی'!$D$6)))))</f>
        <v>1</v>
      </c>
      <c r="AA19" s="17">
        <f>IF('امتیاز دهی خبرگان'!$K19=0,0,IF('امتیاز دهی خبرگان'!$K19=1,'طیف فازی'!$B$2,IF('امتیاز دهی خبرگان'!$K19=2,'طیف فازی'!$B$3,IF('امتیاز دهی خبرگان'!$K19=3,'طیف فازی'!$B$4,IF('امتیاز دهی خبرگان'!$K19=4,'طیف فازی'!$B$5,'طیف فازی'!$B$6)))))</f>
        <v>0.75</v>
      </c>
      <c r="AB19" s="18">
        <f>IF('امتیاز دهی خبرگان'!$K19=0,0,IF('امتیاز دهی خبرگان'!$K19=1,'طیف فازی'!$C$2,IF('امتیاز دهی خبرگان'!$K19=2,'طیف فازی'!$C$3,IF('امتیاز دهی خبرگان'!$K19=3,'طیف فازی'!$C$4,IF('امتیاز دهی خبرگان'!$K19=4,'طیف فازی'!$C$5,'طیف فازی'!$C$6)))))</f>
        <v>1</v>
      </c>
      <c r="AC19" s="19">
        <f>IF('امتیاز دهی خبرگان'!$K19=0,0,IF('امتیاز دهی خبرگان'!$K19=1,'طیف فازی'!$D$2,IF('امتیاز دهی خبرگان'!$K19=2,'طیف فازی'!$D$3,IF('امتیاز دهی خبرگان'!$K19=3,'طیف فازی'!$D$4,IF('امتیاز دهی خبرگان'!$K19=4,'طیف فازی'!$D$5,'طیف فازی'!$D$6)))))</f>
        <v>1</v>
      </c>
      <c r="AD19" s="17">
        <f>IF('امتیاز دهی خبرگان'!$L19=0,0,IF('امتیاز دهی خبرگان'!$L19=1,'طیف فازی'!$B$2,IF('امتیاز دهی خبرگان'!$L19=2,'طیف فازی'!$B$3,IF('امتیاز دهی خبرگان'!$L19=3,'طیف فازی'!$B$4,IF('امتیاز دهی خبرگان'!$L19=4,'طیف فازی'!$B$5,'طیف فازی'!$B$6)))))</f>
        <v>0.75</v>
      </c>
      <c r="AE19" s="18">
        <f>IF('امتیاز دهی خبرگان'!$L19=0,0,IF('امتیاز دهی خبرگان'!$L19=1,'طیف فازی'!$C$2,IF('امتیاز دهی خبرگان'!$L19=2,'طیف فازی'!$C$3,IF('امتیاز دهی خبرگان'!$L19=3,'طیف فازی'!$C$4,IF('امتیاز دهی خبرگان'!$L19=4,'طیف فازی'!$C$5,'طیف فازی'!$C$6)))))</f>
        <v>1</v>
      </c>
      <c r="AF19" s="19">
        <f>IF('امتیاز دهی خبرگان'!$L19=0,0,IF('امتیاز دهی خبرگان'!$L19=1,'طیف فازی'!$D$2,IF('امتیاز دهی خبرگان'!$L19=2,'طیف فازی'!$D$3,IF('امتیاز دهی خبرگان'!$L19=3,'طیف فازی'!$D$4,IF('امتیاز دهی خبرگان'!$L19=4,'طیف فازی'!$D$5,'طیف فازی'!$D$6)))))</f>
        <v>1</v>
      </c>
      <c r="AG19" s="17">
        <f>IF('امتیاز دهی خبرگان'!$M19=0,0,IF('امتیاز دهی خبرگان'!$M19=1,'طیف فازی'!$B$2,IF('امتیاز دهی خبرگان'!$M19=2,'طیف فازی'!$B$3,IF('امتیاز دهی خبرگان'!$M19=3,'طیف فازی'!$B$4,IF('امتیاز دهی خبرگان'!$M19=4,'طیف فازی'!$B$5,'طیف فازی'!$B$6)))))</f>
        <v>0.5</v>
      </c>
      <c r="AH19" s="18">
        <f>IF('امتیاز دهی خبرگان'!$M19=0,0,IF('امتیاز دهی خبرگان'!$M19=1,'طیف فازی'!$C$2,IF('امتیاز دهی خبرگان'!$M19=2,'طیف فازی'!$C$3,IF('امتیاز دهی خبرگان'!$M19=3,'طیف فازی'!$C$4,IF('امتیاز دهی خبرگان'!$M19=4,'طیف فازی'!$C$5,'طیف فازی'!$C$6)))))</f>
        <v>0.75</v>
      </c>
      <c r="AI19" s="19">
        <f>IF('امتیاز دهی خبرگان'!$M19=0,0,IF('امتیاز دهی خبرگان'!$M19=1,'طیف فازی'!$D$2,IF('امتیاز دهی خبرگان'!$M19=2,'طیف فازی'!$D$3,IF('امتیاز دهی خبرگان'!$M19=3,'طیف فازی'!$D$4,IF('امتیاز دهی خبرگان'!$M19=4,'طیف فازی'!$D$5,'طیف فازی'!$D$6)))))</f>
        <v>1</v>
      </c>
      <c r="AJ19" s="17">
        <f>IF('امتیاز دهی خبرگان'!$N19=0,0,IF('امتیاز دهی خبرگان'!$N19=1,'طیف فازی'!$B$2,IF('امتیاز دهی خبرگان'!$N19=2,'طیف فازی'!$B$3,IF('امتیاز دهی خبرگان'!$N19=3,'طیف فازی'!$B$4,IF('امتیاز دهی خبرگان'!$N19=4,'طیف فازی'!$B$5,'طیف فازی'!$B$6)))))</f>
        <v>0.75</v>
      </c>
      <c r="AK19" s="18">
        <f>IF('امتیاز دهی خبرگان'!$N19=0,0,IF('امتیاز دهی خبرگان'!$N19=1,'طیف فازی'!$C$2,IF('امتیاز دهی خبرگان'!$N19=2,'طیف فازی'!$C$3,IF('امتیاز دهی خبرگان'!$N19=3,'طیف فازی'!$C$4,IF('امتیاز دهی خبرگان'!$N19=4,'طیف فازی'!$C$5,'طیف فازی'!$C$6)))))</f>
        <v>1</v>
      </c>
      <c r="AL19" s="19">
        <f>IF('امتیاز دهی خبرگان'!$N19=0,0,IF('امتیاز دهی خبرگان'!$N19=1,'طیف فازی'!$D$2,IF('امتیاز دهی خبرگان'!$N19=2,'طیف فازی'!$D$3,IF('امتیاز دهی خبرگان'!$N19=3,'طیف فازی'!$D$4,IF('امتیاز دهی خبرگان'!$N19=4,'طیف فازی'!$D$5,'طیف فازی'!$D$6)))))</f>
        <v>1</v>
      </c>
      <c r="AM19" s="23">
        <f t="shared" si="1"/>
        <v>6.75</v>
      </c>
      <c r="AN19" s="23">
        <f t="shared" si="2"/>
        <v>9.5</v>
      </c>
      <c r="AO19" s="24">
        <f t="shared" si="3"/>
        <v>10.75</v>
      </c>
      <c r="AP19" s="25">
        <f t="shared" si="4"/>
        <v>0.5625</v>
      </c>
      <c r="AQ19" s="23">
        <f t="shared" si="5"/>
        <v>0.79166666666666663</v>
      </c>
      <c r="AR19" s="24">
        <f t="shared" si="6"/>
        <v>0.89583333333333337</v>
      </c>
      <c r="AS19" s="24">
        <f t="shared" si="7"/>
        <v>0.75</v>
      </c>
      <c r="AT19" s="24" t="str">
        <f t="shared" si="8"/>
        <v>Pass</v>
      </c>
    </row>
    <row r="20" spans="2:46" ht="23.25" customHeight="1" thickBot="1" x14ac:dyDescent="0.85">
      <c r="B20" s="2">
        <v>18</v>
      </c>
      <c r="C20" s="17">
        <f>IF('امتیاز دهی خبرگان'!$C20=0,0,IF('امتیاز دهی خبرگان'!$C20=1,'طیف فازی'!$B$2,IF('امتیاز دهی خبرگان'!$C20=2,'طیف فازی'!$B$3,IF('امتیاز دهی خبرگان'!$C20=3,'طیف فازی'!$B$4,IF('امتیاز دهی خبرگان'!$C20=4,'طیف فازی'!$B$5,'طیف فازی'!$B$6)))))</f>
        <v>0.75</v>
      </c>
      <c r="D20" s="18">
        <f>IF('امتیاز دهی خبرگان'!$C20=0,0,IF('امتیاز دهی خبرگان'!$C20=1,'طیف فازی'!$C$2,IF('امتیاز دهی خبرگان'!$C20=2,'طیف فازی'!$C$3,IF('امتیاز دهی خبرگان'!$C20=3,'طیف فازی'!$C$4,IF('امتیاز دهی خبرگان'!$C20=4,'طیف فازی'!$C$5,'طیف فازی'!$C$6)))))</f>
        <v>1</v>
      </c>
      <c r="E20" s="19">
        <f>IF('امتیاز دهی خبرگان'!$C20=0,0,IF('امتیاز دهی خبرگان'!$C20=1,'طیف فازی'!$D$2,IF('امتیاز دهی خبرگان'!$C20=2,'طیف فازی'!$D$3,IF('امتیاز دهی خبرگان'!$C20=3,'طیف فازی'!$D$4,IF('امتیاز دهی خبرگان'!$C20=4,'طیف فازی'!$D$5,'طیف فازی'!$D$6)))))</f>
        <v>1</v>
      </c>
      <c r="F20" s="20">
        <f>IF('امتیاز دهی خبرگان'!$D20=0,0,IF('امتیاز دهی خبرگان'!$D20=1,'طیف فازی'!$B$2,IF('امتیاز دهی خبرگان'!$D20=2,'طیف فازی'!$B$3,IF('امتیاز دهی خبرگان'!$D20=3,'طیف فازی'!$B$4,IF('امتیاز دهی خبرگان'!$D20=4,'طیف فازی'!$B$5,'طیف فازی'!$B$6)))))</f>
        <v>0.5</v>
      </c>
      <c r="G20" s="21">
        <f>IF('امتیاز دهی خبرگان'!$D20=0,0,IF('امتیاز دهی خبرگان'!$D20=1,'طیف فازی'!$D$2,IF('امتیاز دهی خبرگان'!$D20=2,'طیف فازی'!$C$3,IF('امتیاز دهی خبرگان'!$D20=3,'طیف فازی'!$C$4,IF('امتیاز دهی خبرگان'!$D20=4,'طیف فازی'!$C$5,'طیف فازی'!$C$6)))))</f>
        <v>0.75</v>
      </c>
      <c r="H20" s="22">
        <f>IF('امتیاز دهی خبرگان'!$D20=0,0,IF('امتیاز دهی خبرگان'!$D20=1,'طیف فازی'!$D$2,IF('امتیاز دهی خبرگان'!$D20=2,'طیف فازی'!$D$3,IF('امتیاز دهی خبرگان'!$D20=3,'طیف فازی'!$D$4,IF('امتیاز دهی خبرگان'!$D20=4,'طیف فازی'!$D$5,'طیف فازی'!$D$6)))))</f>
        <v>1</v>
      </c>
      <c r="I20" s="17">
        <f>IF('امتیاز دهی خبرگان'!$E20=0,0,IF('امتیاز دهی خبرگان'!$E20=1,'طیف فازی'!$B$2,IF('امتیاز دهی خبرگان'!$E20=2,'طیف فازی'!$B$3,IF('امتیاز دهی خبرگان'!$E20=3,'طیف فازی'!$B$4,IF('امتیاز دهی خبرگان'!$E20=4,'طیف فازی'!$B$5,'طیف فازی'!$B$6)))))</f>
        <v>0</v>
      </c>
      <c r="J20" s="18">
        <f>IF('امتیاز دهی خبرگان'!$E20=0,0,IF('امتیاز دهی خبرگان'!$E20=1,'طیف فازی'!$C$2,IF('امتیاز دهی خبرگان'!$E20=2,'طیف فازی'!$C$3,IF('امتیاز دهی خبرگان'!$E20=3,'طیف فازی'!$C$4,IF('امتیاز دهی خبرگان'!$E20=4,'طیف فازی'!$C$5,'طیف فازی'!$C$6)))))</f>
        <v>0</v>
      </c>
      <c r="K20" s="19">
        <f>IF('امتیاز دهی خبرگان'!$E20=0,0,IF('امتیاز دهی خبرگان'!$E20=1,'طیف فازی'!$D$2,IF('امتیاز دهی خبرگان'!$E20=2,'طیف فازی'!$D$3,IF('امتیاز دهی خبرگان'!$E20=3,'طیف فازی'!$D$4,IF('امتیاز دهی خبرگان'!$E20=4,'طیف فازی'!$D$5,'طیف فازی'!$D$6)))))</f>
        <v>0.25</v>
      </c>
      <c r="L20" s="17">
        <f>IF('امتیاز دهی خبرگان'!$F20=0,0,IF('امتیاز دهی خبرگان'!$F20=1,'طیف فازی'!$B$2,IF('امتیاز دهی خبرگان'!$F20=2,'طیف فازی'!$B$3,IF('امتیاز دهی خبرگان'!$F20=3,'طیف فازی'!$B$4,IF('امتیاز دهی خبرگان'!$F20=4,'طیف فازی'!$B$5,'طیف فازی'!$B$6)))))</f>
        <v>0.75</v>
      </c>
      <c r="M20" s="18">
        <f>IF('امتیاز دهی خبرگان'!$F20=0,0,IF('امتیاز دهی خبرگان'!$F20=1,'طیف فازی'!$C$2,IF('امتیاز دهی خبرگان'!$F20=2,'طیف فازی'!$C$3,IF('امتیاز دهی خبرگان'!$F20=3,'طیف فازی'!$C$4,IF('امتیاز دهی خبرگان'!$F20=4,'طیف فازی'!$C$5,'طیف فازی'!$C$6)))))</f>
        <v>1</v>
      </c>
      <c r="N20" s="19">
        <f>IF('امتیاز دهی خبرگان'!$F20=0,0,IF('امتیاز دهی خبرگان'!$F20=1,'طیف فازی'!$D$2,IF('امتیاز دهی خبرگان'!$F20=2,'طیف فازی'!$D$3,IF('امتیاز دهی خبرگان'!$F20=3,'طیف فازی'!$D$4,IF('امتیاز دهی خبرگان'!$F20=4,'طیف فازی'!$D$5,'طیف فازی'!$D$6)))))</f>
        <v>1</v>
      </c>
      <c r="O20" s="17">
        <f>IF('امتیاز دهی خبرگان'!$G20=0,0,IF('امتیاز دهی خبرگان'!$G20=1,'طیف فازی'!$B$2,IF('امتیاز دهی خبرگان'!$G20=2,'طیف فازی'!$B$3,IF('امتیاز دهی خبرگان'!$G20=3,'طیف فازی'!$B$4,IF('امتیاز دهی خبرگان'!$G20=4,'طیف فازی'!$B$5,'طیف فازی'!$B$6)))))</f>
        <v>0.75</v>
      </c>
      <c r="P20" s="18">
        <f>IF('امتیاز دهی خبرگان'!$G20=0,0,IF('امتیاز دهی خبرگان'!$G20=1,'طیف فازی'!$C$2,IF('امتیاز دهی خبرگان'!$G20=2,'طیف فازی'!$C$3,IF('امتیاز دهی خبرگان'!$G20=3,'طیف فازی'!$C$4,IF('امتیاز دهی خبرگان'!$G20=4,'طیف فازی'!$C$5,'طیف فازی'!$C$6)))))</f>
        <v>1</v>
      </c>
      <c r="Q20" s="19">
        <f>IF('امتیاز دهی خبرگان'!$G20=0,0,IF('امتیاز دهی خبرگان'!$G20=1,'طیف فازی'!$D$2,IF('امتیاز دهی خبرگان'!$G20=2,'طیف فازی'!$D$3,IF('امتیاز دهی خبرگان'!$G20=3,'طیف فازی'!$D$4,IF('امتیاز دهی خبرگان'!$G20=4,'طیف فازی'!$D$5,'طیف فازی'!$D$6)))))</f>
        <v>1</v>
      </c>
      <c r="R20" s="17">
        <f>IF('امتیاز دهی خبرگان'!$H20=0,0,IF('امتیاز دهی خبرگان'!$H20=1,'طیف فازی'!$B$2,IF('امتیاز دهی خبرگان'!$H20=2,'طیف فازی'!$B$3,IF('امتیاز دهی خبرگان'!$H20=3,'طیف فازی'!$B$4,IF('امتیاز دهی خبرگان'!$H20=4,'طیف فازی'!$B$5,'طیف فازی'!$B$6)))))</f>
        <v>0.25</v>
      </c>
      <c r="S20" s="18">
        <f>IF('امتیاز دهی خبرگان'!$H20=0,0,IF('امتیاز دهی خبرگان'!$H20=1,'طیف فازی'!$C$2,IF('امتیاز دهی خبرگان'!$H20=2,'طیف فازی'!$C$3,IF('امتیاز دهی خبرگان'!$H20=3,'طیف فازی'!$C$4,IF('امتیاز دهی خبرگان'!$H20=4,'طیف فازی'!$C$5,'طیف فازی'!$C$6)))))</f>
        <v>0.5</v>
      </c>
      <c r="T20" s="19">
        <f>IF('امتیاز دهی خبرگان'!$H20=0,0,IF('امتیاز دهی خبرگان'!$H20=1,'طیف فازی'!$D$2,IF('امتیاز دهی خبرگان'!$H20=2,'طیف فازی'!$D$3,IF('امتیاز دهی خبرگان'!$H20=3,'طیف فازی'!$D$4,IF('امتیاز دهی خبرگان'!$H20=4,'طیف فازی'!$D$5,'طیف فازی'!$D$6)))))</f>
        <v>0.75</v>
      </c>
      <c r="U20" s="17">
        <f>IF('امتیاز دهی خبرگان'!$I20=0,0,IF('امتیاز دهی خبرگان'!$I20=1,'طیف فازی'!$B$2,IF('امتیاز دهی خبرگان'!$I20=2,'طیف فازی'!$B$3,IF('امتیاز دهی خبرگان'!$I20=3,'طیف فازی'!$B$4,IF('امتیاز دهی خبرگان'!$I20=4,'طیف فازی'!$B$5,'طیف فازی'!$B$6)))))</f>
        <v>0.25</v>
      </c>
      <c r="V20" s="18">
        <f>IF('امتیاز دهی خبرگان'!$I20=0,0,IF('امتیاز دهی خبرگان'!$I20=1,'طیف فازی'!$C$2,IF('امتیاز دهی خبرگان'!$I20=2,'طیف فازی'!$C$3,IF('امتیاز دهی خبرگان'!$I20=3,'طیف فازی'!$C$4,IF('امتیاز دهی خبرگان'!$I20=4,'طیف فازی'!$C$5,'طیف فازی'!$C$6)))))</f>
        <v>0.5</v>
      </c>
      <c r="W20" s="19">
        <f>IF('امتیاز دهی خبرگان'!$I20=0,0,IF('امتیاز دهی خبرگان'!$I20=1,'طیف فازی'!$D$2,IF('امتیاز دهی خبرگان'!$I20=2,'طیف فازی'!$D$3,IF('امتیاز دهی خبرگان'!$I20=3,'طیف فازی'!$D$4,IF('امتیاز دهی خبرگان'!$I20=4,'طیف فازی'!$D$5,'طیف فازی'!$D$6)))))</f>
        <v>0.75</v>
      </c>
      <c r="X20" s="17">
        <f>IF('امتیاز دهی خبرگان'!$J20=0,0,IF('امتیاز دهی خبرگان'!$J20=1,'طیف فازی'!$B$2,IF('امتیاز دهی خبرگان'!$J20=2,'طیف فازی'!$B$3,IF('امتیاز دهی خبرگان'!$J20=3,'طیف فازی'!$B$4,IF('امتیاز دهی خبرگان'!$J20=4,'طیف فازی'!$B$5,'طیف فازی'!$B$6)))))</f>
        <v>0.75</v>
      </c>
      <c r="Y20" s="18">
        <f>IF('امتیاز دهی خبرگان'!$J20=0,0,IF('امتیاز دهی خبرگان'!$J20=1,'طیف فازی'!$C$2,IF('امتیاز دهی خبرگان'!$J20=2,'طیف فازی'!$C$3,IF('امتیاز دهی خبرگان'!$J20=3,'طیف فازی'!$C$4,IF('امتیاز دهی خبرگان'!$J20=4,'طیف فازی'!$C$5,'طیف فازی'!$C$6)))))</f>
        <v>1</v>
      </c>
      <c r="Z20" s="19">
        <f>IF('امتیاز دهی خبرگان'!$J20=0,0,IF('امتیاز دهی خبرگان'!$J20=1,'طیف فازی'!$D$2,IF('امتیاز دهی خبرگان'!$J20=2,'طیف فازی'!$D$3,IF('امتیاز دهی خبرگان'!$J20=3,'طیف فازی'!$D$4,IF('امتیاز دهی خبرگان'!$J20=4,'طیف فازی'!$D$5,'طیف فازی'!$D$6)))))</f>
        <v>1</v>
      </c>
      <c r="AA20" s="17">
        <f>IF('امتیاز دهی خبرگان'!$K20=0,0,IF('امتیاز دهی خبرگان'!$K20=1,'طیف فازی'!$B$2,IF('امتیاز دهی خبرگان'!$K20=2,'طیف فازی'!$B$3,IF('امتیاز دهی خبرگان'!$K20=3,'طیف فازی'!$B$4,IF('امتیاز دهی خبرگان'!$K20=4,'طیف فازی'!$B$5,'طیف فازی'!$B$6)))))</f>
        <v>0.75</v>
      </c>
      <c r="AB20" s="18">
        <f>IF('امتیاز دهی خبرگان'!$K20=0,0,IF('امتیاز دهی خبرگان'!$K20=1,'طیف فازی'!$C$2,IF('امتیاز دهی خبرگان'!$K20=2,'طیف فازی'!$C$3,IF('امتیاز دهی خبرگان'!$K20=3,'طیف فازی'!$C$4,IF('امتیاز دهی خبرگان'!$K20=4,'طیف فازی'!$C$5,'طیف فازی'!$C$6)))))</f>
        <v>1</v>
      </c>
      <c r="AC20" s="19">
        <f>IF('امتیاز دهی خبرگان'!$K20=0,0,IF('امتیاز دهی خبرگان'!$K20=1,'طیف فازی'!$D$2,IF('امتیاز دهی خبرگان'!$K20=2,'طیف فازی'!$D$3,IF('امتیاز دهی خبرگان'!$K20=3,'طیف فازی'!$D$4,IF('امتیاز دهی خبرگان'!$K20=4,'طیف فازی'!$D$5,'طیف فازی'!$D$6)))))</f>
        <v>1</v>
      </c>
      <c r="AD20" s="17">
        <f>IF('امتیاز دهی خبرگان'!$L20=0,0,IF('امتیاز دهی خبرگان'!$L20=1,'طیف فازی'!$B$2,IF('امتیاز دهی خبرگان'!$L20=2,'طیف فازی'!$B$3,IF('امتیاز دهی خبرگان'!$L20=3,'طیف فازی'!$B$4,IF('امتیاز دهی خبرگان'!$L20=4,'طیف فازی'!$B$5,'طیف فازی'!$B$6)))))</f>
        <v>0.75</v>
      </c>
      <c r="AE20" s="18">
        <f>IF('امتیاز دهی خبرگان'!$L20=0,0,IF('امتیاز دهی خبرگان'!$L20=1,'طیف فازی'!$C$2,IF('امتیاز دهی خبرگان'!$L20=2,'طیف فازی'!$C$3,IF('امتیاز دهی خبرگان'!$L20=3,'طیف فازی'!$C$4,IF('امتیاز دهی خبرگان'!$L20=4,'طیف فازی'!$C$5,'طیف فازی'!$C$6)))))</f>
        <v>1</v>
      </c>
      <c r="AF20" s="19">
        <f>IF('امتیاز دهی خبرگان'!$L20=0,0,IF('امتیاز دهی خبرگان'!$L20=1,'طیف فازی'!$D$2,IF('امتیاز دهی خبرگان'!$L20=2,'طیف فازی'!$D$3,IF('امتیاز دهی خبرگان'!$L20=3,'طیف فازی'!$D$4,IF('امتیاز دهی خبرگان'!$L20=4,'طیف فازی'!$D$5,'طیف فازی'!$D$6)))))</f>
        <v>1</v>
      </c>
      <c r="AG20" s="17">
        <f>IF('امتیاز دهی خبرگان'!$M20=0,0,IF('امتیاز دهی خبرگان'!$M20=1,'طیف فازی'!$B$2,IF('امتیاز دهی خبرگان'!$M20=2,'طیف فازی'!$B$3,IF('امتیاز دهی خبرگان'!$M20=3,'طیف فازی'!$B$4,IF('امتیاز دهی خبرگان'!$M20=4,'طیف فازی'!$B$5,'طیف فازی'!$B$6)))))</f>
        <v>0.75</v>
      </c>
      <c r="AH20" s="18">
        <f>IF('امتیاز دهی خبرگان'!$M20=0,0,IF('امتیاز دهی خبرگان'!$M20=1,'طیف فازی'!$C$2,IF('امتیاز دهی خبرگان'!$M20=2,'طیف فازی'!$C$3,IF('امتیاز دهی خبرگان'!$M20=3,'طیف فازی'!$C$4,IF('امتیاز دهی خبرگان'!$M20=4,'طیف فازی'!$C$5,'طیف فازی'!$C$6)))))</f>
        <v>1</v>
      </c>
      <c r="AI20" s="19">
        <f>IF('امتیاز دهی خبرگان'!$M20=0,0,IF('امتیاز دهی خبرگان'!$M20=1,'طیف فازی'!$D$2,IF('امتیاز دهی خبرگان'!$M20=2,'طیف فازی'!$D$3,IF('امتیاز دهی خبرگان'!$M20=3,'طیف فازی'!$D$4,IF('امتیاز دهی خبرگان'!$M20=4,'طیف فازی'!$D$5,'طیف فازی'!$D$6)))))</f>
        <v>1</v>
      </c>
      <c r="AJ20" s="17">
        <f>IF('امتیاز دهی خبرگان'!$N20=0,0,IF('امتیاز دهی خبرگان'!$N20=1,'طیف فازی'!$B$2,IF('امتیاز دهی خبرگان'!$N20=2,'طیف فازی'!$B$3,IF('امتیاز دهی خبرگان'!$N20=3,'طیف فازی'!$B$4,IF('امتیاز دهی خبرگان'!$N20=4,'طیف فازی'!$B$5,'طیف فازی'!$B$6)))))</f>
        <v>0.75</v>
      </c>
      <c r="AK20" s="18">
        <f>IF('امتیاز دهی خبرگان'!$N20=0,0,IF('امتیاز دهی خبرگان'!$N20=1,'طیف فازی'!$C$2,IF('امتیاز دهی خبرگان'!$N20=2,'طیف فازی'!$C$3,IF('امتیاز دهی خبرگان'!$N20=3,'طیف فازی'!$C$4,IF('امتیاز دهی خبرگان'!$N20=4,'طیف فازی'!$C$5,'طیف فازی'!$C$6)))))</f>
        <v>1</v>
      </c>
      <c r="AL20" s="19">
        <f>IF('امتیاز دهی خبرگان'!$N20=0,0,IF('امتیاز دهی خبرگان'!$N20=1,'طیف فازی'!$D$2,IF('امتیاز دهی خبرگان'!$N20=2,'طیف فازی'!$D$3,IF('امتیاز دهی خبرگان'!$N20=3,'طیف فازی'!$D$4,IF('امتیاز دهی خبرگان'!$N20=4,'طیف فازی'!$D$5,'طیف فازی'!$D$6)))))</f>
        <v>1</v>
      </c>
      <c r="AM20" s="23">
        <f t="shared" si="1"/>
        <v>7</v>
      </c>
      <c r="AN20" s="23">
        <f t="shared" si="2"/>
        <v>9.75</v>
      </c>
      <c r="AO20" s="24">
        <f t="shared" si="3"/>
        <v>10.75</v>
      </c>
      <c r="AP20" s="25">
        <f t="shared" si="4"/>
        <v>0.58333333333333337</v>
      </c>
      <c r="AQ20" s="23">
        <f t="shared" si="5"/>
        <v>0.8125</v>
      </c>
      <c r="AR20" s="24">
        <f t="shared" si="6"/>
        <v>0.89583333333333337</v>
      </c>
      <c r="AS20" s="24">
        <f t="shared" si="7"/>
        <v>0.76388888888888895</v>
      </c>
      <c r="AT20" s="24" t="str">
        <f t="shared" si="8"/>
        <v>Pass</v>
      </c>
    </row>
    <row r="21" spans="2:46" ht="23.25" customHeight="1" thickBot="1" x14ac:dyDescent="0.85">
      <c r="B21" s="2">
        <v>19</v>
      </c>
      <c r="C21" s="17">
        <f>IF('امتیاز دهی خبرگان'!$C21=0,0,IF('امتیاز دهی خبرگان'!$C21=1,'طیف فازی'!$B$2,IF('امتیاز دهی خبرگان'!$C21=2,'طیف فازی'!$B$3,IF('امتیاز دهی خبرگان'!$C21=3,'طیف فازی'!$B$4,IF('امتیاز دهی خبرگان'!$C21=4,'طیف فازی'!$B$5,'طیف فازی'!$B$6)))))</f>
        <v>0.75</v>
      </c>
      <c r="D21" s="18">
        <f>IF('امتیاز دهی خبرگان'!$C21=0,0,IF('امتیاز دهی خبرگان'!$C21=1,'طیف فازی'!$C$2,IF('امتیاز دهی خبرگان'!$C21=2,'طیف فازی'!$C$3,IF('امتیاز دهی خبرگان'!$C21=3,'طیف فازی'!$C$4,IF('امتیاز دهی خبرگان'!$C21=4,'طیف فازی'!$C$5,'طیف فازی'!$C$6)))))</f>
        <v>1</v>
      </c>
      <c r="E21" s="19">
        <f>IF('امتیاز دهی خبرگان'!$C21=0,0,IF('امتیاز دهی خبرگان'!$C21=1,'طیف فازی'!$D$2,IF('امتیاز دهی خبرگان'!$C21=2,'طیف فازی'!$D$3,IF('امتیاز دهی خبرگان'!$C21=3,'طیف فازی'!$D$4,IF('امتیاز دهی خبرگان'!$C21=4,'طیف فازی'!$D$5,'طیف فازی'!$D$6)))))</f>
        <v>1</v>
      </c>
      <c r="F21" s="20">
        <f>IF('امتیاز دهی خبرگان'!$D21=0,0,IF('امتیاز دهی خبرگان'!$D21=1,'طیف فازی'!$B$2,IF('امتیاز دهی خبرگان'!$D21=2,'طیف فازی'!$B$3,IF('امتیاز دهی خبرگان'!$D21=3,'طیف فازی'!$B$4,IF('امتیاز دهی خبرگان'!$D21=4,'طیف فازی'!$B$5,'طیف فازی'!$B$6)))))</f>
        <v>0.5</v>
      </c>
      <c r="G21" s="21">
        <f>IF('امتیاز دهی خبرگان'!$D21=0,0,IF('امتیاز دهی خبرگان'!$D21=1,'طیف فازی'!$D$2,IF('امتیاز دهی خبرگان'!$D21=2,'طیف فازی'!$C$3,IF('امتیاز دهی خبرگان'!$D21=3,'طیف فازی'!$C$4,IF('امتیاز دهی خبرگان'!$D21=4,'طیف فازی'!$C$5,'طیف فازی'!$C$6)))))</f>
        <v>0.75</v>
      </c>
      <c r="H21" s="22">
        <f>IF('امتیاز دهی خبرگان'!$D21=0,0,IF('امتیاز دهی خبرگان'!$D21=1,'طیف فازی'!$D$2,IF('امتیاز دهی خبرگان'!$D21=2,'طیف فازی'!$D$3,IF('امتیاز دهی خبرگان'!$D21=3,'طیف فازی'!$D$4,IF('امتیاز دهی خبرگان'!$D21=4,'طیف فازی'!$D$5,'طیف فازی'!$D$6)))))</f>
        <v>1</v>
      </c>
      <c r="I21" s="17">
        <f>IF('امتیاز دهی خبرگان'!$E21=0,0,IF('امتیاز دهی خبرگان'!$E21=1,'طیف فازی'!$B$2,IF('امتیاز دهی خبرگان'!$E21=2,'طیف فازی'!$B$3,IF('امتیاز دهی خبرگان'!$E21=3,'طیف فازی'!$B$4,IF('امتیاز دهی خبرگان'!$E21=4,'طیف فازی'!$B$5,'طیف فازی'!$B$6)))))</f>
        <v>0.5</v>
      </c>
      <c r="J21" s="18">
        <f>IF('امتیاز دهی خبرگان'!$E21=0,0,IF('امتیاز دهی خبرگان'!$E21=1,'طیف فازی'!$C$2,IF('امتیاز دهی خبرگان'!$E21=2,'طیف فازی'!$C$3,IF('امتیاز دهی خبرگان'!$E21=3,'طیف فازی'!$C$4,IF('امتیاز دهی خبرگان'!$E21=4,'طیف فازی'!$C$5,'طیف فازی'!$C$6)))))</f>
        <v>0.75</v>
      </c>
      <c r="K21" s="19">
        <f>IF('امتیاز دهی خبرگان'!$E21=0,0,IF('امتیاز دهی خبرگان'!$E21=1,'طیف فازی'!$D$2,IF('امتیاز دهی خبرگان'!$E21=2,'طیف فازی'!$D$3,IF('امتیاز دهی خبرگان'!$E21=3,'طیف فازی'!$D$4,IF('امتیاز دهی خبرگان'!$E21=4,'طیف فازی'!$D$5,'طیف فازی'!$D$6)))))</f>
        <v>1</v>
      </c>
      <c r="L21" s="17">
        <f>IF('امتیاز دهی خبرگان'!$F21=0,0,IF('امتیاز دهی خبرگان'!$F21=1,'طیف فازی'!$B$2,IF('امتیاز دهی خبرگان'!$F21=2,'طیف فازی'!$B$3,IF('امتیاز دهی خبرگان'!$F21=3,'طیف فازی'!$B$4,IF('امتیاز دهی خبرگان'!$F21=4,'طیف فازی'!$B$5,'طیف فازی'!$B$6)))))</f>
        <v>0.75</v>
      </c>
      <c r="M21" s="18">
        <f>IF('امتیاز دهی خبرگان'!$F21=0,0,IF('امتیاز دهی خبرگان'!$F21=1,'طیف فازی'!$C$2,IF('امتیاز دهی خبرگان'!$F21=2,'طیف فازی'!$C$3,IF('امتیاز دهی خبرگان'!$F21=3,'طیف فازی'!$C$4,IF('امتیاز دهی خبرگان'!$F21=4,'طیف فازی'!$C$5,'طیف فازی'!$C$6)))))</f>
        <v>1</v>
      </c>
      <c r="N21" s="19">
        <f>IF('امتیاز دهی خبرگان'!$F21=0,0,IF('امتیاز دهی خبرگان'!$F21=1,'طیف فازی'!$D$2,IF('امتیاز دهی خبرگان'!$F21=2,'طیف فازی'!$D$3,IF('امتیاز دهی خبرگان'!$F21=3,'طیف فازی'!$D$4,IF('امتیاز دهی خبرگان'!$F21=4,'طیف فازی'!$D$5,'طیف فازی'!$D$6)))))</f>
        <v>1</v>
      </c>
      <c r="O21" s="17">
        <f>IF('امتیاز دهی خبرگان'!$G21=0,0,IF('امتیاز دهی خبرگان'!$G21=1,'طیف فازی'!$B$2,IF('امتیاز دهی خبرگان'!$G21=2,'طیف فازی'!$B$3,IF('امتیاز دهی خبرگان'!$G21=3,'طیف فازی'!$B$4,IF('امتیاز دهی خبرگان'!$G21=4,'طیف فازی'!$B$5,'طیف فازی'!$B$6)))))</f>
        <v>0.5</v>
      </c>
      <c r="P21" s="18">
        <f>IF('امتیاز دهی خبرگان'!$G21=0,0,IF('امتیاز دهی خبرگان'!$G21=1,'طیف فازی'!$C$2,IF('امتیاز دهی خبرگان'!$G21=2,'طیف فازی'!$C$3,IF('امتیاز دهی خبرگان'!$G21=3,'طیف فازی'!$C$4,IF('امتیاز دهی خبرگان'!$G21=4,'طیف فازی'!$C$5,'طیف فازی'!$C$6)))))</f>
        <v>0.75</v>
      </c>
      <c r="Q21" s="19">
        <f>IF('امتیاز دهی خبرگان'!$G21=0,0,IF('امتیاز دهی خبرگان'!$G21=1,'طیف فازی'!$D$2,IF('امتیاز دهی خبرگان'!$G21=2,'طیف فازی'!$D$3,IF('امتیاز دهی خبرگان'!$G21=3,'طیف فازی'!$D$4,IF('امتیاز دهی خبرگان'!$G21=4,'طیف فازی'!$D$5,'طیف فازی'!$D$6)))))</f>
        <v>1</v>
      </c>
      <c r="R21" s="17">
        <f>IF('امتیاز دهی خبرگان'!$H21=0,0,IF('امتیاز دهی خبرگان'!$H21=1,'طیف فازی'!$B$2,IF('امتیاز دهی خبرگان'!$H21=2,'طیف فازی'!$B$3,IF('امتیاز دهی خبرگان'!$H21=3,'طیف فازی'!$B$4,IF('امتیاز دهی خبرگان'!$H21=4,'طیف فازی'!$B$5,'طیف فازی'!$B$6)))))</f>
        <v>0.75</v>
      </c>
      <c r="S21" s="18">
        <f>IF('امتیاز دهی خبرگان'!$H21=0,0,IF('امتیاز دهی خبرگان'!$H21=1,'طیف فازی'!$C$2,IF('امتیاز دهی خبرگان'!$H21=2,'طیف فازی'!$C$3,IF('امتیاز دهی خبرگان'!$H21=3,'طیف فازی'!$C$4,IF('امتیاز دهی خبرگان'!$H21=4,'طیف فازی'!$C$5,'طیف فازی'!$C$6)))))</f>
        <v>1</v>
      </c>
      <c r="T21" s="19">
        <f>IF('امتیاز دهی خبرگان'!$H21=0,0,IF('امتیاز دهی خبرگان'!$H21=1,'طیف فازی'!$D$2,IF('امتیاز دهی خبرگان'!$H21=2,'طیف فازی'!$D$3,IF('امتیاز دهی خبرگان'!$H21=3,'طیف فازی'!$D$4,IF('امتیاز دهی خبرگان'!$H21=4,'طیف فازی'!$D$5,'طیف فازی'!$D$6)))))</f>
        <v>1</v>
      </c>
      <c r="U21" s="17">
        <f>IF('امتیاز دهی خبرگان'!$I21=0,0,IF('امتیاز دهی خبرگان'!$I21=1,'طیف فازی'!$B$2,IF('امتیاز دهی خبرگان'!$I21=2,'طیف فازی'!$B$3,IF('امتیاز دهی خبرگان'!$I21=3,'طیف فازی'!$B$4,IF('امتیاز دهی خبرگان'!$I21=4,'طیف فازی'!$B$5,'طیف فازی'!$B$6)))))</f>
        <v>0.5</v>
      </c>
      <c r="V21" s="18">
        <f>IF('امتیاز دهی خبرگان'!$I21=0,0,IF('امتیاز دهی خبرگان'!$I21=1,'طیف فازی'!$C$2,IF('امتیاز دهی خبرگان'!$I21=2,'طیف فازی'!$C$3,IF('امتیاز دهی خبرگان'!$I21=3,'طیف فازی'!$C$4,IF('امتیاز دهی خبرگان'!$I21=4,'طیف فازی'!$C$5,'طیف فازی'!$C$6)))))</f>
        <v>0.75</v>
      </c>
      <c r="W21" s="19">
        <f>IF('امتیاز دهی خبرگان'!$I21=0,0,IF('امتیاز دهی خبرگان'!$I21=1,'طیف فازی'!$D$2,IF('امتیاز دهی خبرگان'!$I21=2,'طیف فازی'!$D$3,IF('امتیاز دهی خبرگان'!$I21=3,'طیف فازی'!$D$4,IF('امتیاز دهی خبرگان'!$I21=4,'طیف فازی'!$D$5,'طیف فازی'!$D$6)))))</f>
        <v>1</v>
      </c>
      <c r="X21" s="17">
        <f>IF('امتیاز دهی خبرگان'!$J21=0,0,IF('امتیاز دهی خبرگان'!$J21=1,'طیف فازی'!$B$2,IF('امتیاز دهی خبرگان'!$J21=2,'طیف فازی'!$B$3,IF('امتیاز دهی خبرگان'!$J21=3,'طیف فازی'!$B$4,IF('امتیاز دهی خبرگان'!$J21=4,'طیف فازی'!$B$5,'طیف فازی'!$B$6)))))</f>
        <v>0.5</v>
      </c>
      <c r="Y21" s="18">
        <f>IF('امتیاز دهی خبرگان'!$J21=0,0,IF('امتیاز دهی خبرگان'!$J21=1,'طیف فازی'!$C$2,IF('امتیاز دهی خبرگان'!$J21=2,'طیف فازی'!$C$3,IF('امتیاز دهی خبرگان'!$J21=3,'طیف فازی'!$C$4,IF('امتیاز دهی خبرگان'!$J21=4,'طیف فازی'!$C$5,'طیف فازی'!$C$6)))))</f>
        <v>0.75</v>
      </c>
      <c r="Z21" s="19">
        <f>IF('امتیاز دهی خبرگان'!$J21=0,0,IF('امتیاز دهی خبرگان'!$J21=1,'طیف فازی'!$D$2,IF('امتیاز دهی خبرگان'!$J21=2,'طیف فازی'!$D$3,IF('امتیاز دهی خبرگان'!$J21=3,'طیف فازی'!$D$4,IF('امتیاز دهی خبرگان'!$J21=4,'طیف فازی'!$D$5,'طیف فازی'!$D$6)))))</f>
        <v>1</v>
      </c>
      <c r="AA21" s="17">
        <f>IF('امتیاز دهی خبرگان'!$K21=0,0,IF('امتیاز دهی خبرگان'!$K21=1,'طیف فازی'!$B$2,IF('امتیاز دهی خبرگان'!$K21=2,'طیف فازی'!$B$3,IF('امتیاز دهی خبرگان'!$K21=3,'طیف فازی'!$B$4,IF('امتیاز دهی خبرگان'!$K21=4,'طیف فازی'!$B$5,'طیف فازی'!$B$6)))))</f>
        <v>0.5</v>
      </c>
      <c r="AB21" s="18">
        <f>IF('امتیاز دهی خبرگان'!$K21=0,0,IF('امتیاز دهی خبرگان'!$K21=1,'طیف فازی'!$C$2,IF('امتیاز دهی خبرگان'!$K21=2,'طیف فازی'!$C$3,IF('امتیاز دهی خبرگان'!$K21=3,'طیف فازی'!$C$4,IF('امتیاز دهی خبرگان'!$K21=4,'طیف فازی'!$C$5,'طیف فازی'!$C$6)))))</f>
        <v>0.75</v>
      </c>
      <c r="AC21" s="19">
        <f>IF('امتیاز دهی خبرگان'!$K21=0,0,IF('امتیاز دهی خبرگان'!$K21=1,'طیف فازی'!$D$2,IF('امتیاز دهی خبرگان'!$K21=2,'طیف فازی'!$D$3,IF('امتیاز دهی خبرگان'!$K21=3,'طیف فازی'!$D$4,IF('امتیاز دهی خبرگان'!$K21=4,'طیف فازی'!$D$5,'طیف فازی'!$D$6)))))</f>
        <v>1</v>
      </c>
      <c r="AD21" s="17">
        <f>IF('امتیاز دهی خبرگان'!$L21=0,0,IF('امتیاز دهی خبرگان'!$L21=1,'طیف فازی'!$B$2,IF('امتیاز دهی خبرگان'!$L21=2,'طیف فازی'!$B$3,IF('امتیاز دهی خبرگان'!$L21=3,'طیف فازی'!$B$4,IF('امتیاز دهی خبرگان'!$L21=4,'طیف فازی'!$B$5,'طیف فازی'!$B$6)))))</f>
        <v>0.25</v>
      </c>
      <c r="AE21" s="18">
        <f>IF('امتیاز دهی خبرگان'!$L21=0,0,IF('امتیاز دهی خبرگان'!$L21=1,'طیف فازی'!$C$2,IF('امتیاز دهی خبرگان'!$L21=2,'طیف فازی'!$C$3,IF('امتیاز دهی خبرگان'!$L21=3,'طیف فازی'!$C$4,IF('امتیاز دهی خبرگان'!$L21=4,'طیف فازی'!$C$5,'طیف فازی'!$C$6)))))</f>
        <v>0.5</v>
      </c>
      <c r="AF21" s="19">
        <f>IF('امتیاز دهی خبرگان'!$L21=0,0,IF('امتیاز دهی خبرگان'!$L21=1,'طیف فازی'!$D$2,IF('امتیاز دهی خبرگان'!$L21=2,'طیف فازی'!$D$3,IF('امتیاز دهی خبرگان'!$L21=3,'طیف فازی'!$D$4,IF('امتیاز دهی خبرگان'!$L21=4,'طیف فازی'!$D$5,'طیف فازی'!$D$6)))))</f>
        <v>0.75</v>
      </c>
      <c r="AG21" s="17">
        <f>IF('امتیاز دهی خبرگان'!$M21=0,0,IF('امتیاز دهی خبرگان'!$M21=1,'طیف فازی'!$B$2,IF('امتیاز دهی خبرگان'!$M21=2,'طیف فازی'!$B$3,IF('امتیاز دهی خبرگان'!$M21=3,'طیف فازی'!$B$4,IF('امتیاز دهی خبرگان'!$M21=4,'طیف فازی'!$B$5,'طیف فازی'!$B$6)))))</f>
        <v>0.5</v>
      </c>
      <c r="AH21" s="18">
        <f>IF('امتیاز دهی خبرگان'!$M21=0,0,IF('امتیاز دهی خبرگان'!$M21=1,'طیف فازی'!$C$2,IF('امتیاز دهی خبرگان'!$M21=2,'طیف فازی'!$C$3,IF('امتیاز دهی خبرگان'!$M21=3,'طیف فازی'!$C$4,IF('امتیاز دهی خبرگان'!$M21=4,'طیف فازی'!$C$5,'طیف فازی'!$C$6)))))</f>
        <v>0.75</v>
      </c>
      <c r="AI21" s="19">
        <f>IF('امتیاز دهی خبرگان'!$M21=0,0,IF('امتیاز دهی خبرگان'!$M21=1,'طیف فازی'!$D$2,IF('امتیاز دهی خبرگان'!$M21=2,'طیف فازی'!$D$3,IF('امتیاز دهی خبرگان'!$M21=3,'طیف فازی'!$D$4,IF('امتیاز دهی خبرگان'!$M21=4,'طیف فازی'!$D$5,'طیف فازی'!$D$6)))))</f>
        <v>1</v>
      </c>
      <c r="AJ21" s="17">
        <f>IF('امتیاز دهی خبرگان'!$N21=0,0,IF('امتیاز دهی خبرگان'!$N21=1,'طیف فازی'!$B$2,IF('امتیاز دهی خبرگان'!$N21=2,'طیف فازی'!$B$3,IF('امتیاز دهی خبرگان'!$N21=3,'طیف فازی'!$B$4,IF('امتیاز دهی خبرگان'!$N21=4,'طیف فازی'!$B$5,'طیف فازی'!$B$6)))))</f>
        <v>0.5</v>
      </c>
      <c r="AK21" s="18">
        <f>IF('امتیاز دهی خبرگان'!$N21=0,0,IF('امتیاز دهی خبرگان'!$N21=1,'طیف فازی'!$C$2,IF('امتیاز دهی خبرگان'!$N21=2,'طیف فازی'!$C$3,IF('امتیاز دهی خبرگان'!$N21=3,'طیف فازی'!$C$4,IF('امتیاز دهی خبرگان'!$N21=4,'طیف فازی'!$C$5,'طیف فازی'!$C$6)))))</f>
        <v>0.75</v>
      </c>
      <c r="AL21" s="19">
        <f>IF('امتیاز دهی خبرگان'!$N21=0,0,IF('امتیاز دهی خبرگان'!$N21=1,'طیف فازی'!$D$2,IF('امتیاز دهی خبرگان'!$N21=2,'طیف فازی'!$D$3,IF('امتیاز دهی خبرگان'!$N21=3,'طیف فازی'!$D$4,IF('امتیاز دهی خبرگان'!$N21=4,'طیف فازی'!$D$5,'طیف فازی'!$D$6)))))</f>
        <v>1</v>
      </c>
      <c r="AM21" s="23">
        <f t="shared" si="1"/>
        <v>6.5</v>
      </c>
      <c r="AN21" s="23">
        <f t="shared" si="2"/>
        <v>9.5</v>
      </c>
      <c r="AO21" s="24">
        <f t="shared" si="3"/>
        <v>11.75</v>
      </c>
      <c r="AP21" s="25">
        <f t="shared" si="4"/>
        <v>0.54166666666666663</v>
      </c>
      <c r="AQ21" s="23">
        <f t="shared" si="5"/>
        <v>0.79166666666666663</v>
      </c>
      <c r="AR21" s="24">
        <f t="shared" si="6"/>
        <v>0.97916666666666663</v>
      </c>
      <c r="AS21" s="24">
        <f t="shared" si="7"/>
        <v>0.77083333333333337</v>
      </c>
      <c r="AT21" s="24" t="str">
        <f t="shared" si="8"/>
        <v>Pass</v>
      </c>
    </row>
    <row r="22" spans="2:46" ht="23.25" customHeight="1" thickBot="1" x14ac:dyDescent="0.85">
      <c r="B22" s="2">
        <v>20</v>
      </c>
      <c r="C22" s="17">
        <f>IF('امتیاز دهی خبرگان'!$C22=0,0,IF('امتیاز دهی خبرگان'!$C22=1,'طیف فازی'!$B$2,IF('امتیاز دهی خبرگان'!$C22=2,'طیف فازی'!$B$3,IF('امتیاز دهی خبرگان'!$C22=3,'طیف فازی'!$B$4,IF('امتیاز دهی خبرگان'!$C22=4,'طیف فازی'!$B$5,'طیف فازی'!$B$6)))))</f>
        <v>0.75</v>
      </c>
      <c r="D22" s="18">
        <f>IF('امتیاز دهی خبرگان'!$C22=0,0,IF('امتیاز دهی خبرگان'!$C22=1,'طیف فازی'!$C$2,IF('امتیاز دهی خبرگان'!$C22=2,'طیف فازی'!$C$3,IF('امتیاز دهی خبرگان'!$C22=3,'طیف فازی'!$C$4,IF('امتیاز دهی خبرگان'!$C22=4,'طیف فازی'!$C$5,'طیف فازی'!$C$6)))))</f>
        <v>1</v>
      </c>
      <c r="E22" s="19">
        <f>IF('امتیاز دهی خبرگان'!$C22=0,0,IF('امتیاز دهی خبرگان'!$C22=1,'طیف فازی'!$D$2,IF('امتیاز دهی خبرگان'!$C22=2,'طیف فازی'!$D$3,IF('امتیاز دهی خبرگان'!$C22=3,'طیف فازی'!$D$4,IF('امتیاز دهی خبرگان'!$C22=4,'طیف فازی'!$D$5,'طیف فازی'!$D$6)))))</f>
        <v>1</v>
      </c>
      <c r="F22" s="20">
        <f>IF('امتیاز دهی خبرگان'!$D22=0,0,IF('امتیاز دهی خبرگان'!$D22=1,'طیف فازی'!$B$2,IF('امتیاز دهی خبرگان'!$D22=2,'طیف فازی'!$B$3,IF('امتیاز دهی خبرگان'!$D22=3,'طیف فازی'!$B$4,IF('امتیاز دهی خبرگان'!$D22=4,'طیف فازی'!$B$5,'طیف فازی'!$B$6)))))</f>
        <v>0.25</v>
      </c>
      <c r="G22" s="21">
        <f>IF('امتیاز دهی خبرگان'!$D22=0,0,IF('امتیاز دهی خبرگان'!$D22=1,'طیف فازی'!$D$2,IF('امتیاز دهی خبرگان'!$D22=2,'طیف فازی'!$C$3,IF('امتیاز دهی خبرگان'!$D22=3,'طیف فازی'!$C$4,IF('امتیاز دهی خبرگان'!$D22=4,'طیف فازی'!$C$5,'طیف فازی'!$C$6)))))</f>
        <v>0.5</v>
      </c>
      <c r="H22" s="22">
        <f>IF('امتیاز دهی خبرگان'!$D22=0,0,IF('امتیاز دهی خبرگان'!$D22=1,'طیف فازی'!$D$2,IF('امتیاز دهی خبرگان'!$D22=2,'طیف فازی'!$D$3,IF('امتیاز دهی خبرگان'!$D22=3,'طیف فازی'!$D$4,IF('امتیاز دهی خبرگان'!$D22=4,'طیف فازی'!$D$5,'طیف فازی'!$D$6)))))</f>
        <v>0.75</v>
      </c>
      <c r="I22" s="17">
        <f>IF('امتیاز دهی خبرگان'!$E22=0,0,IF('امتیاز دهی خبرگان'!$E22=1,'طیف فازی'!$B$2,IF('امتیاز دهی خبرگان'!$E22=2,'طیف فازی'!$B$3,IF('امتیاز دهی خبرگان'!$E22=3,'طیف فازی'!$B$4,IF('امتیاز دهی خبرگان'!$E22=4,'طیف فازی'!$B$5,'طیف فازی'!$B$6)))))</f>
        <v>0.75</v>
      </c>
      <c r="J22" s="18">
        <f>IF('امتیاز دهی خبرگان'!$E22=0,0,IF('امتیاز دهی خبرگان'!$E22=1,'طیف فازی'!$C$2,IF('امتیاز دهی خبرگان'!$E22=2,'طیف فازی'!$C$3,IF('امتیاز دهی خبرگان'!$E22=3,'طیف فازی'!$C$4,IF('امتیاز دهی خبرگان'!$E22=4,'طیف فازی'!$C$5,'طیف فازی'!$C$6)))))</f>
        <v>1</v>
      </c>
      <c r="K22" s="19">
        <f>IF('امتیاز دهی خبرگان'!$E22=0,0,IF('امتیاز دهی خبرگان'!$E22=1,'طیف فازی'!$D$2,IF('امتیاز دهی خبرگان'!$E22=2,'طیف فازی'!$D$3,IF('امتیاز دهی خبرگان'!$E22=3,'طیف فازی'!$D$4,IF('امتیاز دهی خبرگان'!$E22=4,'طیف فازی'!$D$5,'طیف فازی'!$D$6)))))</f>
        <v>1</v>
      </c>
      <c r="L22" s="17">
        <f>IF('امتیاز دهی خبرگان'!$F22=0,0,IF('امتیاز دهی خبرگان'!$F22=1,'طیف فازی'!$B$2,IF('امتیاز دهی خبرگان'!$F22=2,'طیف فازی'!$B$3,IF('امتیاز دهی خبرگان'!$F22=3,'طیف فازی'!$B$4,IF('امتیاز دهی خبرگان'!$F22=4,'طیف فازی'!$B$5,'طیف فازی'!$B$6)))))</f>
        <v>0.75</v>
      </c>
      <c r="M22" s="18">
        <f>IF('امتیاز دهی خبرگان'!$F22=0,0,IF('امتیاز دهی خبرگان'!$F22=1,'طیف فازی'!$C$2,IF('امتیاز دهی خبرگان'!$F22=2,'طیف فازی'!$C$3,IF('امتیاز دهی خبرگان'!$F22=3,'طیف فازی'!$C$4,IF('امتیاز دهی خبرگان'!$F22=4,'طیف فازی'!$C$5,'طیف فازی'!$C$6)))))</f>
        <v>1</v>
      </c>
      <c r="N22" s="19">
        <f>IF('امتیاز دهی خبرگان'!$F22=0,0,IF('امتیاز دهی خبرگان'!$F22=1,'طیف فازی'!$D$2,IF('امتیاز دهی خبرگان'!$F22=2,'طیف فازی'!$D$3,IF('امتیاز دهی خبرگان'!$F22=3,'طیف فازی'!$D$4,IF('امتیاز دهی خبرگان'!$F22=4,'طیف فازی'!$D$5,'طیف فازی'!$D$6)))))</f>
        <v>1</v>
      </c>
      <c r="O22" s="17">
        <f>IF('امتیاز دهی خبرگان'!$G22=0,0,IF('امتیاز دهی خبرگان'!$G22=1,'طیف فازی'!$B$2,IF('امتیاز دهی خبرگان'!$G22=2,'طیف فازی'!$B$3,IF('امتیاز دهی خبرگان'!$G22=3,'طیف فازی'!$B$4,IF('امتیاز دهی خبرگان'!$G22=4,'طیف فازی'!$B$5,'طیف فازی'!$B$6)))))</f>
        <v>0.75</v>
      </c>
      <c r="P22" s="18">
        <f>IF('امتیاز دهی خبرگان'!$G22=0,0,IF('امتیاز دهی خبرگان'!$G22=1,'طیف فازی'!$C$2,IF('امتیاز دهی خبرگان'!$G22=2,'طیف فازی'!$C$3,IF('امتیاز دهی خبرگان'!$G22=3,'طیف فازی'!$C$4,IF('امتیاز دهی خبرگان'!$G22=4,'طیف فازی'!$C$5,'طیف فازی'!$C$6)))))</f>
        <v>1</v>
      </c>
      <c r="Q22" s="19">
        <f>IF('امتیاز دهی خبرگان'!$G22=0,0,IF('امتیاز دهی خبرگان'!$G22=1,'طیف فازی'!$D$2,IF('امتیاز دهی خبرگان'!$G22=2,'طیف فازی'!$D$3,IF('امتیاز دهی خبرگان'!$G22=3,'طیف فازی'!$D$4,IF('امتیاز دهی خبرگان'!$G22=4,'طیف فازی'!$D$5,'طیف فازی'!$D$6)))))</f>
        <v>1</v>
      </c>
      <c r="R22" s="17">
        <f>IF('امتیاز دهی خبرگان'!$H22=0,0,IF('امتیاز دهی خبرگان'!$H22=1,'طیف فازی'!$B$2,IF('امتیاز دهی خبرگان'!$H22=2,'طیف فازی'!$B$3,IF('امتیاز دهی خبرگان'!$H22=3,'طیف فازی'!$B$4,IF('امتیاز دهی خبرگان'!$H22=4,'طیف فازی'!$B$5,'طیف فازی'!$B$6)))))</f>
        <v>0</v>
      </c>
      <c r="S22" s="18">
        <f>IF('امتیاز دهی خبرگان'!$H22=0,0,IF('امتیاز دهی خبرگان'!$H22=1,'طیف فازی'!$C$2,IF('امتیاز دهی خبرگان'!$H22=2,'طیف فازی'!$C$3,IF('امتیاز دهی خبرگان'!$H22=3,'طیف فازی'!$C$4,IF('امتیاز دهی خبرگان'!$H22=4,'طیف فازی'!$C$5,'طیف فازی'!$C$6)))))</f>
        <v>0.25</v>
      </c>
      <c r="T22" s="19">
        <f>IF('امتیاز دهی خبرگان'!$H22=0,0,IF('امتیاز دهی خبرگان'!$H22=1,'طیف فازی'!$D$2,IF('امتیاز دهی خبرگان'!$H22=2,'طیف فازی'!$D$3,IF('امتیاز دهی خبرگان'!$H22=3,'طیف فازی'!$D$4,IF('امتیاز دهی خبرگان'!$H22=4,'طیف فازی'!$D$5,'طیف فازی'!$D$6)))))</f>
        <v>0.5</v>
      </c>
      <c r="U22" s="17">
        <f>IF('امتیاز دهی خبرگان'!$I22=0,0,IF('امتیاز دهی خبرگان'!$I22=1,'طیف فازی'!$B$2,IF('امتیاز دهی خبرگان'!$I22=2,'طیف فازی'!$B$3,IF('امتیاز دهی خبرگان'!$I22=3,'طیف فازی'!$B$4,IF('امتیاز دهی خبرگان'!$I22=4,'طیف فازی'!$B$5,'طیف فازی'!$B$6)))))</f>
        <v>0.75</v>
      </c>
      <c r="V22" s="18">
        <f>IF('امتیاز دهی خبرگان'!$I22=0,0,IF('امتیاز دهی خبرگان'!$I22=1,'طیف فازی'!$C$2,IF('امتیاز دهی خبرگان'!$I22=2,'طیف فازی'!$C$3,IF('امتیاز دهی خبرگان'!$I22=3,'طیف فازی'!$C$4,IF('امتیاز دهی خبرگان'!$I22=4,'طیف فازی'!$C$5,'طیف فازی'!$C$6)))))</f>
        <v>1</v>
      </c>
      <c r="W22" s="19">
        <f>IF('امتیاز دهی خبرگان'!$I22=0,0,IF('امتیاز دهی خبرگان'!$I22=1,'طیف فازی'!$D$2,IF('امتیاز دهی خبرگان'!$I22=2,'طیف فازی'!$D$3,IF('امتیاز دهی خبرگان'!$I22=3,'طیف فازی'!$D$4,IF('امتیاز دهی خبرگان'!$I22=4,'طیف فازی'!$D$5,'طیف فازی'!$D$6)))))</f>
        <v>1</v>
      </c>
      <c r="X22" s="17">
        <f>IF('امتیاز دهی خبرگان'!$J22=0,0,IF('امتیاز دهی خبرگان'!$J22=1,'طیف فازی'!$B$2,IF('امتیاز دهی خبرگان'!$J22=2,'طیف فازی'!$B$3,IF('امتیاز دهی خبرگان'!$J22=3,'طیف فازی'!$B$4,IF('امتیاز دهی خبرگان'!$J22=4,'طیف فازی'!$B$5,'طیف فازی'!$B$6)))))</f>
        <v>0.5</v>
      </c>
      <c r="Y22" s="18">
        <f>IF('امتیاز دهی خبرگان'!$J22=0,0,IF('امتیاز دهی خبرگان'!$J22=1,'طیف فازی'!$C$2,IF('امتیاز دهی خبرگان'!$J22=2,'طیف فازی'!$C$3,IF('امتیاز دهی خبرگان'!$J22=3,'طیف فازی'!$C$4,IF('امتیاز دهی خبرگان'!$J22=4,'طیف فازی'!$C$5,'طیف فازی'!$C$6)))))</f>
        <v>0.75</v>
      </c>
      <c r="Z22" s="19">
        <f>IF('امتیاز دهی خبرگان'!$J22=0,0,IF('امتیاز دهی خبرگان'!$J22=1,'طیف فازی'!$D$2,IF('امتیاز دهی خبرگان'!$J22=2,'طیف فازی'!$D$3,IF('امتیاز دهی خبرگان'!$J22=3,'طیف فازی'!$D$4,IF('امتیاز دهی خبرگان'!$J22=4,'طیف فازی'!$D$5,'طیف فازی'!$D$6)))))</f>
        <v>1</v>
      </c>
      <c r="AA22" s="17">
        <f>IF('امتیاز دهی خبرگان'!$K22=0,0,IF('امتیاز دهی خبرگان'!$K22=1,'طیف فازی'!$B$2,IF('امتیاز دهی خبرگان'!$K22=2,'طیف فازی'!$B$3,IF('امتیاز دهی خبرگان'!$K22=3,'طیف فازی'!$B$4,IF('امتیاز دهی خبرگان'!$K22=4,'طیف فازی'!$B$5,'طیف فازی'!$B$6)))))</f>
        <v>0.75</v>
      </c>
      <c r="AB22" s="18">
        <f>IF('امتیاز دهی خبرگان'!$K22=0,0,IF('امتیاز دهی خبرگان'!$K22=1,'طیف فازی'!$C$2,IF('امتیاز دهی خبرگان'!$K22=2,'طیف فازی'!$C$3,IF('امتیاز دهی خبرگان'!$K22=3,'طیف فازی'!$C$4,IF('امتیاز دهی خبرگان'!$K22=4,'طیف فازی'!$C$5,'طیف فازی'!$C$6)))))</f>
        <v>1</v>
      </c>
      <c r="AC22" s="19">
        <f>IF('امتیاز دهی خبرگان'!$K22=0,0,IF('امتیاز دهی خبرگان'!$K22=1,'طیف فازی'!$D$2,IF('امتیاز دهی خبرگان'!$K22=2,'طیف فازی'!$D$3,IF('امتیاز دهی خبرگان'!$K22=3,'طیف فازی'!$D$4,IF('امتیاز دهی خبرگان'!$K22=4,'طیف فازی'!$D$5,'طیف فازی'!$D$6)))))</f>
        <v>1</v>
      </c>
      <c r="AD22" s="17">
        <f>IF('امتیاز دهی خبرگان'!$L22=0,0,IF('امتیاز دهی خبرگان'!$L22=1,'طیف فازی'!$B$2,IF('امتیاز دهی خبرگان'!$L22=2,'طیف فازی'!$B$3,IF('امتیاز دهی خبرگان'!$L22=3,'طیف فازی'!$B$4,IF('امتیاز دهی خبرگان'!$L22=4,'طیف فازی'!$B$5,'طیف فازی'!$B$6)))))</f>
        <v>0.75</v>
      </c>
      <c r="AE22" s="18">
        <f>IF('امتیاز دهی خبرگان'!$L22=0,0,IF('امتیاز دهی خبرگان'!$L22=1,'طیف فازی'!$C$2,IF('امتیاز دهی خبرگان'!$L22=2,'طیف فازی'!$C$3,IF('امتیاز دهی خبرگان'!$L22=3,'طیف فازی'!$C$4,IF('امتیاز دهی خبرگان'!$L22=4,'طیف فازی'!$C$5,'طیف فازی'!$C$6)))))</f>
        <v>1</v>
      </c>
      <c r="AF22" s="19">
        <f>IF('امتیاز دهی خبرگان'!$L22=0,0,IF('امتیاز دهی خبرگان'!$L22=1,'طیف فازی'!$D$2,IF('امتیاز دهی خبرگان'!$L22=2,'طیف فازی'!$D$3,IF('امتیاز دهی خبرگان'!$L22=3,'طیف فازی'!$D$4,IF('امتیاز دهی خبرگان'!$L22=4,'طیف فازی'!$D$5,'طیف فازی'!$D$6)))))</f>
        <v>1</v>
      </c>
      <c r="AG22" s="17">
        <f>IF('امتیاز دهی خبرگان'!$M22=0,0,IF('امتیاز دهی خبرگان'!$M22=1,'طیف فازی'!$B$2,IF('امتیاز دهی خبرگان'!$M22=2,'طیف فازی'!$B$3,IF('امتیاز دهی خبرگان'!$M22=3,'طیف فازی'!$B$4,IF('امتیاز دهی خبرگان'!$M22=4,'طیف فازی'!$B$5,'طیف فازی'!$B$6)))))</f>
        <v>0.5</v>
      </c>
      <c r="AH22" s="18">
        <f>IF('امتیاز دهی خبرگان'!$M22=0,0,IF('امتیاز دهی خبرگان'!$M22=1,'طیف فازی'!$C$2,IF('امتیاز دهی خبرگان'!$M22=2,'طیف فازی'!$C$3,IF('امتیاز دهی خبرگان'!$M22=3,'طیف فازی'!$C$4,IF('امتیاز دهی خبرگان'!$M22=4,'طیف فازی'!$C$5,'طیف فازی'!$C$6)))))</f>
        <v>0.75</v>
      </c>
      <c r="AI22" s="19">
        <f>IF('امتیاز دهی خبرگان'!$M22=0,0,IF('امتیاز دهی خبرگان'!$M22=1,'طیف فازی'!$D$2,IF('امتیاز دهی خبرگان'!$M22=2,'طیف فازی'!$D$3,IF('امتیاز دهی خبرگان'!$M22=3,'طیف فازی'!$D$4,IF('امتیاز دهی خبرگان'!$M22=4,'طیف فازی'!$D$5,'طیف فازی'!$D$6)))))</f>
        <v>1</v>
      </c>
      <c r="AJ22" s="17">
        <f>IF('امتیاز دهی خبرگان'!$N22=0,0,IF('امتیاز دهی خبرگان'!$N22=1,'طیف فازی'!$B$2,IF('امتیاز دهی خبرگان'!$N22=2,'طیف فازی'!$B$3,IF('امتیاز دهی خبرگان'!$N22=3,'طیف فازی'!$B$4,IF('امتیاز دهی خبرگان'!$N22=4,'طیف فازی'!$B$5,'طیف فازی'!$B$6)))))</f>
        <v>0.75</v>
      </c>
      <c r="AK22" s="18">
        <f>IF('امتیاز دهی خبرگان'!$N22=0,0,IF('امتیاز دهی خبرگان'!$N22=1,'طیف فازی'!$C$2,IF('امتیاز دهی خبرگان'!$N22=2,'طیف فازی'!$C$3,IF('امتیاز دهی خبرگان'!$N22=3,'طیف فازی'!$C$4,IF('امتیاز دهی خبرگان'!$N22=4,'طیف فازی'!$C$5,'طیف فازی'!$C$6)))))</f>
        <v>1</v>
      </c>
      <c r="AL22" s="19">
        <f>IF('امتیاز دهی خبرگان'!$N22=0,0,IF('امتیاز دهی خبرگان'!$N22=1,'طیف فازی'!$D$2,IF('امتیاز دهی خبرگان'!$N22=2,'طیف فازی'!$D$3,IF('امتیاز دهی خبرگان'!$N22=3,'طیف فازی'!$D$4,IF('امتیاز دهی خبرگان'!$N22=4,'طیف فازی'!$D$5,'طیف فازی'!$D$6)))))</f>
        <v>1</v>
      </c>
      <c r="AM22" s="23">
        <f t="shared" si="1"/>
        <v>7.25</v>
      </c>
      <c r="AN22" s="23">
        <f t="shared" si="2"/>
        <v>10.25</v>
      </c>
      <c r="AO22" s="24">
        <f t="shared" si="3"/>
        <v>11.25</v>
      </c>
      <c r="AP22" s="25">
        <f t="shared" si="4"/>
        <v>0.60416666666666663</v>
      </c>
      <c r="AQ22" s="23">
        <f t="shared" si="5"/>
        <v>0.85416666666666663</v>
      </c>
      <c r="AR22" s="24">
        <f t="shared" si="6"/>
        <v>0.9375</v>
      </c>
      <c r="AS22" s="24">
        <f t="shared" si="7"/>
        <v>0.79861111111111105</v>
      </c>
      <c r="AT22" s="24" t="str">
        <f t="shared" si="8"/>
        <v>Pass</v>
      </c>
    </row>
    <row r="23" spans="2:46" ht="23.25" customHeight="1" thickBot="1" x14ac:dyDescent="0.85">
      <c r="B23" s="2">
        <v>21</v>
      </c>
      <c r="C23" s="17">
        <f>IF('امتیاز دهی خبرگان'!$C23=0,0,IF('امتیاز دهی خبرگان'!$C23=1,'طیف فازی'!$B$2,IF('امتیاز دهی خبرگان'!$C23=2,'طیف فازی'!$B$3,IF('امتیاز دهی خبرگان'!$C23=3,'طیف فازی'!$B$4,IF('امتیاز دهی خبرگان'!$C23=4,'طیف فازی'!$B$5,'طیف فازی'!$B$6)))))</f>
        <v>0.75</v>
      </c>
      <c r="D23" s="18">
        <f>IF('امتیاز دهی خبرگان'!$C23=0,0,IF('امتیاز دهی خبرگان'!$C23=1,'طیف فازی'!$C$2,IF('امتیاز دهی خبرگان'!$C23=2,'طیف فازی'!$C$3,IF('امتیاز دهی خبرگان'!$C23=3,'طیف فازی'!$C$4,IF('امتیاز دهی خبرگان'!$C23=4,'طیف فازی'!$C$5,'طیف فازی'!$C$6)))))</f>
        <v>1</v>
      </c>
      <c r="E23" s="19">
        <f>IF('امتیاز دهی خبرگان'!$C23=0,0,IF('امتیاز دهی خبرگان'!$C23=1,'طیف فازی'!$D$2,IF('امتیاز دهی خبرگان'!$C23=2,'طیف فازی'!$D$3,IF('امتیاز دهی خبرگان'!$C23=3,'طیف فازی'!$D$4,IF('امتیاز دهی خبرگان'!$C23=4,'طیف فازی'!$D$5,'طیف فازی'!$D$6)))))</f>
        <v>1</v>
      </c>
      <c r="F23" s="20">
        <f>IF('امتیاز دهی خبرگان'!$D23=0,0,IF('امتیاز دهی خبرگان'!$D23=1,'طیف فازی'!$B$2,IF('امتیاز دهی خبرگان'!$D23=2,'طیف فازی'!$B$3,IF('امتیاز دهی خبرگان'!$D23=3,'طیف فازی'!$B$4,IF('امتیاز دهی خبرگان'!$D23=4,'طیف فازی'!$B$5,'طیف فازی'!$B$6)))))</f>
        <v>0</v>
      </c>
      <c r="G23" s="21">
        <f>IF('امتیاز دهی خبرگان'!$D23=0,0,IF('امتیاز دهی خبرگان'!$D23=1,'طیف فازی'!$D$2,IF('امتیاز دهی خبرگان'!$D23=2,'طیف فازی'!$C$3,IF('امتیاز دهی خبرگان'!$D23=3,'طیف فازی'!$C$4,IF('امتیاز دهی خبرگان'!$D23=4,'طیف فازی'!$C$5,'طیف فازی'!$C$6)))))</f>
        <v>0.25</v>
      </c>
      <c r="H23" s="22">
        <f>IF('امتیاز دهی خبرگان'!$D23=0,0,IF('امتیاز دهی خبرگان'!$D23=1,'طیف فازی'!$D$2,IF('امتیاز دهی خبرگان'!$D23=2,'طیف فازی'!$D$3,IF('امتیاز دهی خبرگان'!$D23=3,'طیف فازی'!$D$4,IF('امتیاز دهی خبرگان'!$D23=4,'طیف فازی'!$D$5,'طیف فازی'!$D$6)))))</f>
        <v>0.5</v>
      </c>
      <c r="I23" s="17">
        <f>IF('امتیاز دهی خبرگان'!$E23=0,0,IF('امتیاز دهی خبرگان'!$E23=1,'طیف فازی'!$B$2,IF('امتیاز دهی خبرگان'!$E23=2,'طیف فازی'!$B$3,IF('امتیاز دهی خبرگان'!$E23=3,'طیف فازی'!$B$4,IF('امتیاز دهی خبرگان'!$E23=4,'طیف فازی'!$B$5,'طیف فازی'!$B$6)))))</f>
        <v>0</v>
      </c>
      <c r="J23" s="18">
        <f>IF('امتیاز دهی خبرگان'!$E23=0,0,IF('امتیاز دهی خبرگان'!$E23=1,'طیف فازی'!$C$2,IF('امتیاز دهی خبرگان'!$E23=2,'طیف فازی'!$C$3,IF('امتیاز دهی خبرگان'!$E23=3,'طیف فازی'!$C$4,IF('امتیاز دهی خبرگان'!$E23=4,'طیف فازی'!$C$5,'طیف فازی'!$C$6)))))</f>
        <v>0</v>
      </c>
      <c r="K23" s="19">
        <f>IF('امتیاز دهی خبرگان'!$E23=0,0,IF('امتیاز دهی خبرگان'!$E23=1,'طیف فازی'!$D$2,IF('امتیاز دهی خبرگان'!$E23=2,'طیف فازی'!$D$3,IF('امتیاز دهی خبرگان'!$E23=3,'طیف فازی'!$D$4,IF('امتیاز دهی خبرگان'!$E23=4,'طیف فازی'!$D$5,'طیف فازی'!$D$6)))))</f>
        <v>0.25</v>
      </c>
      <c r="L23" s="17">
        <f>IF('امتیاز دهی خبرگان'!$F23=0,0,IF('امتیاز دهی خبرگان'!$F23=1,'طیف فازی'!$B$2,IF('امتیاز دهی خبرگان'!$F23=2,'طیف فازی'!$B$3,IF('امتیاز دهی خبرگان'!$F23=3,'طیف فازی'!$B$4,IF('امتیاز دهی خبرگان'!$F23=4,'طیف فازی'!$B$5,'طیف فازی'!$B$6)))))</f>
        <v>0.75</v>
      </c>
      <c r="M23" s="18">
        <f>IF('امتیاز دهی خبرگان'!$F23=0,0,IF('امتیاز دهی خبرگان'!$F23=1,'طیف فازی'!$C$2,IF('امتیاز دهی خبرگان'!$F23=2,'طیف فازی'!$C$3,IF('امتیاز دهی خبرگان'!$F23=3,'طیف فازی'!$C$4,IF('امتیاز دهی خبرگان'!$F23=4,'طیف فازی'!$C$5,'طیف فازی'!$C$6)))))</f>
        <v>1</v>
      </c>
      <c r="N23" s="19">
        <f>IF('امتیاز دهی خبرگان'!$F23=0,0,IF('امتیاز دهی خبرگان'!$F23=1,'طیف فازی'!$D$2,IF('امتیاز دهی خبرگان'!$F23=2,'طیف فازی'!$D$3,IF('امتیاز دهی خبرگان'!$F23=3,'طیف فازی'!$D$4,IF('امتیاز دهی خبرگان'!$F23=4,'طیف فازی'!$D$5,'طیف فازی'!$D$6)))))</f>
        <v>1</v>
      </c>
      <c r="O23" s="17">
        <f>IF('امتیاز دهی خبرگان'!$G23=0,0,IF('امتیاز دهی خبرگان'!$G23=1,'طیف فازی'!$B$2,IF('امتیاز دهی خبرگان'!$G23=2,'طیف فازی'!$B$3,IF('امتیاز دهی خبرگان'!$G23=3,'طیف فازی'!$B$4,IF('امتیاز دهی خبرگان'!$G23=4,'طیف فازی'!$B$5,'طیف فازی'!$B$6)))))</f>
        <v>0.75</v>
      </c>
      <c r="P23" s="18">
        <f>IF('امتیاز دهی خبرگان'!$G23=0,0,IF('امتیاز دهی خبرگان'!$G23=1,'طیف فازی'!$C$2,IF('امتیاز دهی خبرگان'!$G23=2,'طیف فازی'!$C$3,IF('امتیاز دهی خبرگان'!$G23=3,'طیف فازی'!$C$4,IF('امتیاز دهی خبرگان'!$G23=4,'طیف فازی'!$C$5,'طیف فازی'!$C$6)))))</f>
        <v>1</v>
      </c>
      <c r="Q23" s="19">
        <f>IF('امتیاز دهی خبرگان'!$G23=0,0,IF('امتیاز دهی خبرگان'!$G23=1,'طیف فازی'!$D$2,IF('امتیاز دهی خبرگان'!$G23=2,'طیف فازی'!$D$3,IF('امتیاز دهی خبرگان'!$G23=3,'طیف فازی'!$D$4,IF('امتیاز دهی خبرگان'!$G23=4,'طیف فازی'!$D$5,'طیف فازی'!$D$6)))))</f>
        <v>1</v>
      </c>
      <c r="R23" s="17">
        <f>IF('امتیاز دهی خبرگان'!$H23=0,0,IF('امتیاز دهی خبرگان'!$H23=1,'طیف فازی'!$B$2,IF('امتیاز دهی خبرگان'!$H23=2,'طیف فازی'!$B$3,IF('امتیاز دهی خبرگان'!$H23=3,'طیف فازی'!$B$4,IF('امتیاز دهی خبرگان'!$H23=4,'طیف فازی'!$B$5,'طیف فازی'!$B$6)))))</f>
        <v>0.5</v>
      </c>
      <c r="S23" s="18">
        <f>IF('امتیاز دهی خبرگان'!$H23=0,0,IF('امتیاز دهی خبرگان'!$H23=1,'طیف فازی'!$C$2,IF('امتیاز دهی خبرگان'!$H23=2,'طیف فازی'!$C$3,IF('امتیاز دهی خبرگان'!$H23=3,'طیف فازی'!$C$4,IF('امتیاز دهی خبرگان'!$H23=4,'طیف فازی'!$C$5,'طیف فازی'!$C$6)))))</f>
        <v>0.75</v>
      </c>
      <c r="T23" s="19">
        <f>IF('امتیاز دهی خبرگان'!$H23=0,0,IF('امتیاز دهی خبرگان'!$H23=1,'طیف فازی'!$D$2,IF('امتیاز دهی خبرگان'!$H23=2,'طیف فازی'!$D$3,IF('امتیاز دهی خبرگان'!$H23=3,'طیف فازی'!$D$4,IF('امتیاز دهی خبرگان'!$H23=4,'طیف فازی'!$D$5,'طیف فازی'!$D$6)))))</f>
        <v>1</v>
      </c>
      <c r="U23" s="17">
        <f>IF('امتیاز دهی خبرگان'!$I23=0,0,IF('امتیاز دهی خبرگان'!$I23=1,'طیف فازی'!$B$2,IF('امتیاز دهی خبرگان'!$I23=2,'طیف فازی'!$B$3,IF('امتیاز دهی خبرگان'!$I23=3,'طیف فازی'!$B$4,IF('امتیاز دهی خبرگان'!$I23=4,'طیف فازی'!$B$5,'طیف فازی'!$B$6)))))</f>
        <v>0.75</v>
      </c>
      <c r="V23" s="18">
        <f>IF('امتیاز دهی خبرگان'!$I23=0,0,IF('امتیاز دهی خبرگان'!$I23=1,'طیف فازی'!$C$2,IF('امتیاز دهی خبرگان'!$I23=2,'طیف فازی'!$C$3,IF('امتیاز دهی خبرگان'!$I23=3,'طیف فازی'!$C$4,IF('امتیاز دهی خبرگان'!$I23=4,'طیف فازی'!$C$5,'طیف فازی'!$C$6)))))</f>
        <v>1</v>
      </c>
      <c r="W23" s="19">
        <f>IF('امتیاز دهی خبرگان'!$I23=0,0,IF('امتیاز دهی خبرگان'!$I23=1,'طیف فازی'!$D$2,IF('امتیاز دهی خبرگان'!$I23=2,'طیف فازی'!$D$3,IF('امتیاز دهی خبرگان'!$I23=3,'طیف فازی'!$D$4,IF('امتیاز دهی خبرگان'!$I23=4,'طیف فازی'!$D$5,'طیف فازی'!$D$6)))))</f>
        <v>1</v>
      </c>
      <c r="X23" s="17">
        <f>IF('امتیاز دهی خبرگان'!$J23=0,0,IF('امتیاز دهی خبرگان'!$J23=1,'طیف فازی'!$B$2,IF('امتیاز دهی خبرگان'!$J23=2,'طیف فازی'!$B$3,IF('امتیاز دهی خبرگان'!$J23=3,'طیف فازی'!$B$4,IF('امتیاز دهی خبرگان'!$J23=4,'طیف فازی'!$B$5,'طیف فازی'!$B$6)))))</f>
        <v>0.5</v>
      </c>
      <c r="Y23" s="18">
        <f>IF('امتیاز دهی خبرگان'!$J23=0,0,IF('امتیاز دهی خبرگان'!$J23=1,'طیف فازی'!$C$2,IF('امتیاز دهی خبرگان'!$J23=2,'طیف فازی'!$C$3,IF('امتیاز دهی خبرگان'!$J23=3,'طیف فازی'!$C$4,IF('امتیاز دهی خبرگان'!$J23=4,'طیف فازی'!$C$5,'طیف فازی'!$C$6)))))</f>
        <v>0.75</v>
      </c>
      <c r="Z23" s="19">
        <f>IF('امتیاز دهی خبرگان'!$J23=0,0,IF('امتیاز دهی خبرگان'!$J23=1,'طیف فازی'!$D$2,IF('امتیاز دهی خبرگان'!$J23=2,'طیف فازی'!$D$3,IF('امتیاز دهی خبرگان'!$J23=3,'طیف فازی'!$D$4,IF('امتیاز دهی خبرگان'!$J23=4,'طیف فازی'!$D$5,'طیف فازی'!$D$6)))))</f>
        <v>1</v>
      </c>
      <c r="AA23" s="17">
        <f>IF('امتیاز دهی خبرگان'!$K23=0,0,IF('امتیاز دهی خبرگان'!$K23=1,'طیف فازی'!$B$2,IF('امتیاز دهی خبرگان'!$K23=2,'طیف فازی'!$B$3,IF('امتیاز دهی خبرگان'!$K23=3,'طیف فازی'!$B$4,IF('امتیاز دهی خبرگان'!$K23=4,'طیف فازی'!$B$5,'طیف فازی'!$B$6)))))</f>
        <v>0.75</v>
      </c>
      <c r="AB23" s="18">
        <f>IF('امتیاز دهی خبرگان'!$K23=0,0,IF('امتیاز دهی خبرگان'!$K23=1,'طیف فازی'!$C$2,IF('امتیاز دهی خبرگان'!$K23=2,'طیف فازی'!$C$3,IF('امتیاز دهی خبرگان'!$K23=3,'طیف فازی'!$C$4,IF('امتیاز دهی خبرگان'!$K23=4,'طیف فازی'!$C$5,'طیف فازی'!$C$6)))))</f>
        <v>1</v>
      </c>
      <c r="AC23" s="19">
        <f>IF('امتیاز دهی خبرگان'!$K23=0,0,IF('امتیاز دهی خبرگان'!$K23=1,'طیف فازی'!$D$2,IF('امتیاز دهی خبرگان'!$K23=2,'طیف فازی'!$D$3,IF('امتیاز دهی خبرگان'!$K23=3,'طیف فازی'!$D$4,IF('امتیاز دهی خبرگان'!$K23=4,'طیف فازی'!$D$5,'طیف فازی'!$D$6)))))</f>
        <v>1</v>
      </c>
      <c r="AD23" s="17">
        <f>IF('امتیاز دهی خبرگان'!$L23=0,0,IF('امتیاز دهی خبرگان'!$L23=1,'طیف فازی'!$B$2,IF('امتیاز دهی خبرگان'!$L23=2,'طیف فازی'!$B$3,IF('امتیاز دهی خبرگان'!$L23=3,'طیف فازی'!$B$4,IF('امتیاز دهی خبرگان'!$L23=4,'طیف فازی'!$B$5,'طیف فازی'!$B$6)))))</f>
        <v>0.75</v>
      </c>
      <c r="AE23" s="18">
        <f>IF('امتیاز دهی خبرگان'!$L23=0,0,IF('امتیاز دهی خبرگان'!$L23=1,'طیف فازی'!$C$2,IF('امتیاز دهی خبرگان'!$L23=2,'طیف فازی'!$C$3,IF('امتیاز دهی خبرگان'!$L23=3,'طیف فازی'!$C$4,IF('امتیاز دهی خبرگان'!$L23=4,'طیف فازی'!$C$5,'طیف فازی'!$C$6)))))</f>
        <v>1</v>
      </c>
      <c r="AF23" s="19">
        <f>IF('امتیاز دهی خبرگان'!$L23=0,0,IF('امتیاز دهی خبرگان'!$L23=1,'طیف فازی'!$D$2,IF('امتیاز دهی خبرگان'!$L23=2,'طیف فازی'!$D$3,IF('امتیاز دهی خبرگان'!$L23=3,'طیف فازی'!$D$4,IF('امتیاز دهی خبرگان'!$L23=4,'طیف فازی'!$D$5,'طیف فازی'!$D$6)))))</f>
        <v>1</v>
      </c>
      <c r="AG23" s="17">
        <f>IF('امتیاز دهی خبرگان'!$M23=0,0,IF('امتیاز دهی خبرگان'!$M23=1,'طیف فازی'!$B$2,IF('امتیاز دهی خبرگان'!$M23=2,'طیف فازی'!$B$3,IF('امتیاز دهی خبرگان'!$M23=3,'طیف فازی'!$B$4,IF('امتیاز دهی خبرگان'!$M23=4,'طیف فازی'!$B$5,'طیف فازی'!$B$6)))))</f>
        <v>0.5</v>
      </c>
      <c r="AH23" s="18">
        <f>IF('امتیاز دهی خبرگان'!$M23=0,0,IF('امتیاز دهی خبرگان'!$M23=1,'طیف فازی'!$C$2,IF('امتیاز دهی خبرگان'!$M23=2,'طیف فازی'!$C$3,IF('امتیاز دهی خبرگان'!$M23=3,'طیف فازی'!$C$4,IF('امتیاز دهی خبرگان'!$M23=4,'طیف فازی'!$C$5,'طیف فازی'!$C$6)))))</f>
        <v>0.75</v>
      </c>
      <c r="AI23" s="19">
        <f>IF('امتیاز دهی خبرگان'!$M23=0,0,IF('امتیاز دهی خبرگان'!$M23=1,'طیف فازی'!$D$2,IF('امتیاز دهی خبرگان'!$M23=2,'طیف فازی'!$D$3,IF('امتیاز دهی خبرگان'!$M23=3,'طیف فازی'!$D$4,IF('امتیاز دهی خبرگان'!$M23=4,'طیف فازی'!$D$5,'طیف فازی'!$D$6)))))</f>
        <v>1</v>
      </c>
      <c r="AJ23" s="17">
        <f>IF('امتیاز دهی خبرگان'!$N23=0,0,IF('امتیاز دهی خبرگان'!$N23=1,'طیف فازی'!$B$2,IF('امتیاز دهی خبرگان'!$N23=2,'طیف فازی'!$B$3,IF('امتیاز دهی خبرگان'!$N23=3,'طیف فازی'!$B$4,IF('امتیاز دهی خبرگان'!$N23=4,'طیف فازی'!$B$5,'طیف فازی'!$B$6)))))</f>
        <v>0.5</v>
      </c>
      <c r="AK23" s="18">
        <f>IF('امتیاز دهی خبرگان'!$N23=0,0,IF('امتیاز دهی خبرگان'!$N23=1,'طیف فازی'!$C$2,IF('امتیاز دهی خبرگان'!$N23=2,'طیف فازی'!$C$3,IF('امتیاز دهی خبرگان'!$N23=3,'طیف فازی'!$C$4,IF('امتیاز دهی خبرگان'!$N23=4,'طیف فازی'!$C$5,'طیف فازی'!$C$6)))))</f>
        <v>0.75</v>
      </c>
      <c r="AL23" s="19">
        <f>IF('امتیاز دهی خبرگان'!$N23=0,0,IF('امتیاز دهی خبرگان'!$N23=1,'طیف فازی'!$D$2,IF('امتیاز دهی خبرگان'!$N23=2,'طیف فازی'!$D$3,IF('امتیاز دهی خبرگان'!$N23=3,'طیف فازی'!$D$4,IF('امتیاز دهی خبرگان'!$N23=4,'طیف فازی'!$D$5,'طیف فازی'!$D$6)))))</f>
        <v>1</v>
      </c>
      <c r="AM23" s="23">
        <f t="shared" si="1"/>
        <v>6.5</v>
      </c>
      <c r="AN23" s="23">
        <f t="shared" si="2"/>
        <v>9.25</v>
      </c>
      <c r="AO23" s="24">
        <f t="shared" si="3"/>
        <v>10.75</v>
      </c>
      <c r="AP23" s="25">
        <f t="shared" si="4"/>
        <v>0.54166666666666663</v>
      </c>
      <c r="AQ23" s="23">
        <f t="shared" si="5"/>
        <v>0.77083333333333337</v>
      </c>
      <c r="AR23" s="24">
        <f t="shared" si="6"/>
        <v>0.89583333333333337</v>
      </c>
      <c r="AS23" s="24">
        <f t="shared" si="7"/>
        <v>0.73611111111111116</v>
      </c>
      <c r="AT23" s="24" t="str">
        <f t="shared" si="8"/>
        <v>Pass</v>
      </c>
    </row>
    <row r="24" spans="2:46" ht="23.25" customHeight="1" thickBot="1" x14ac:dyDescent="0.85">
      <c r="B24" s="2">
        <v>22</v>
      </c>
      <c r="C24" s="17">
        <f>IF('امتیاز دهی خبرگان'!$C24=0,0,IF('امتیاز دهی خبرگان'!$C24=1,'طیف فازی'!$B$2,IF('امتیاز دهی خبرگان'!$C24=2,'طیف فازی'!$B$3,IF('امتیاز دهی خبرگان'!$C24=3,'طیف فازی'!$B$4,IF('امتیاز دهی خبرگان'!$C24=4,'طیف فازی'!$B$5,'طیف فازی'!$B$6)))))</f>
        <v>0.75</v>
      </c>
      <c r="D24" s="18">
        <f>IF('امتیاز دهی خبرگان'!$C24=0,0,IF('امتیاز دهی خبرگان'!$C24=1,'طیف فازی'!$C$2,IF('امتیاز دهی خبرگان'!$C24=2,'طیف فازی'!$C$3,IF('امتیاز دهی خبرگان'!$C24=3,'طیف فازی'!$C$4,IF('امتیاز دهی خبرگان'!$C24=4,'طیف فازی'!$C$5,'طیف فازی'!$C$6)))))</f>
        <v>1</v>
      </c>
      <c r="E24" s="19">
        <f>IF('امتیاز دهی خبرگان'!$C24=0,0,IF('امتیاز دهی خبرگان'!$C24=1,'طیف فازی'!$D$2,IF('امتیاز دهی خبرگان'!$C24=2,'طیف فازی'!$D$3,IF('امتیاز دهی خبرگان'!$C24=3,'طیف فازی'!$D$4,IF('امتیاز دهی خبرگان'!$C24=4,'طیف فازی'!$D$5,'طیف فازی'!$D$6)))))</f>
        <v>1</v>
      </c>
      <c r="F24" s="20">
        <f>IF('امتیاز دهی خبرگان'!$D24=0,0,IF('امتیاز دهی خبرگان'!$D24=1,'طیف فازی'!$B$2,IF('امتیاز دهی خبرگان'!$D24=2,'طیف فازی'!$B$3,IF('امتیاز دهی خبرگان'!$D24=3,'طیف فازی'!$B$4,IF('امتیاز دهی خبرگان'!$D24=4,'طیف فازی'!$B$5,'طیف فازی'!$B$6)))))</f>
        <v>0.25</v>
      </c>
      <c r="G24" s="21">
        <f>IF('امتیاز دهی خبرگان'!$D24=0,0,IF('امتیاز دهی خبرگان'!$D24=1,'طیف فازی'!$D$2,IF('امتیاز دهی خبرگان'!$D24=2,'طیف فازی'!$C$3,IF('امتیاز دهی خبرگان'!$D24=3,'طیف فازی'!$C$4,IF('امتیاز دهی خبرگان'!$D24=4,'طیف فازی'!$C$5,'طیف فازی'!$C$6)))))</f>
        <v>0.5</v>
      </c>
      <c r="H24" s="22">
        <f>IF('امتیاز دهی خبرگان'!$D24=0,0,IF('امتیاز دهی خبرگان'!$D24=1,'طیف فازی'!$D$2,IF('امتیاز دهی خبرگان'!$D24=2,'طیف فازی'!$D$3,IF('امتیاز دهی خبرگان'!$D24=3,'طیف فازی'!$D$4,IF('امتیاز دهی خبرگان'!$D24=4,'طیف فازی'!$D$5,'طیف فازی'!$D$6)))))</f>
        <v>0.75</v>
      </c>
      <c r="I24" s="17">
        <f>IF('امتیاز دهی خبرگان'!$E24=0,0,IF('امتیاز دهی خبرگان'!$E24=1,'طیف فازی'!$B$2,IF('امتیاز دهی خبرگان'!$E24=2,'طیف فازی'!$B$3,IF('امتیاز دهی خبرگان'!$E24=3,'طیف فازی'!$B$4,IF('امتیاز دهی خبرگان'!$E24=4,'طیف فازی'!$B$5,'طیف فازی'!$B$6)))))</f>
        <v>0.25</v>
      </c>
      <c r="J24" s="18">
        <f>IF('امتیاز دهی خبرگان'!$E24=0,0,IF('امتیاز دهی خبرگان'!$E24=1,'طیف فازی'!$C$2,IF('امتیاز دهی خبرگان'!$E24=2,'طیف فازی'!$C$3,IF('امتیاز دهی خبرگان'!$E24=3,'طیف فازی'!$C$4,IF('امتیاز دهی خبرگان'!$E24=4,'طیف فازی'!$C$5,'طیف فازی'!$C$6)))))</f>
        <v>0.5</v>
      </c>
      <c r="K24" s="19">
        <f>IF('امتیاز دهی خبرگان'!$E24=0,0,IF('امتیاز دهی خبرگان'!$E24=1,'طیف فازی'!$D$2,IF('امتیاز دهی خبرگان'!$E24=2,'طیف فازی'!$D$3,IF('امتیاز دهی خبرگان'!$E24=3,'طیف فازی'!$D$4,IF('امتیاز دهی خبرگان'!$E24=4,'طیف فازی'!$D$5,'طیف فازی'!$D$6)))))</f>
        <v>0.75</v>
      </c>
      <c r="L24" s="17">
        <f>IF('امتیاز دهی خبرگان'!$F24=0,0,IF('امتیاز دهی خبرگان'!$F24=1,'طیف فازی'!$B$2,IF('امتیاز دهی خبرگان'!$F24=2,'طیف فازی'!$B$3,IF('امتیاز دهی خبرگان'!$F24=3,'طیف فازی'!$B$4,IF('امتیاز دهی خبرگان'!$F24=4,'طیف فازی'!$B$5,'طیف فازی'!$B$6)))))</f>
        <v>0.75</v>
      </c>
      <c r="M24" s="18">
        <f>IF('امتیاز دهی خبرگان'!$F24=0,0,IF('امتیاز دهی خبرگان'!$F24=1,'طیف فازی'!$C$2,IF('امتیاز دهی خبرگان'!$F24=2,'طیف فازی'!$C$3,IF('امتیاز دهی خبرگان'!$F24=3,'طیف فازی'!$C$4,IF('امتیاز دهی خبرگان'!$F24=4,'طیف فازی'!$C$5,'طیف فازی'!$C$6)))))</f>
        <v>1</v>
      </c>
      <c r="N24" s="19">
        <f>IF('امتیاز دهی خبرگان'!$F24=0,0,IF('امتیاز دهی خبرگان'!$F24=1,'طیف فازی'!$D$2,IF('امتیاز دهی خبرگان'!$F24=2,'طیف فازی'!$D$3,IF('امتیاز دهی خبرگان'!$F24=3,'طیف فازی'!$D$4,IF('امتیاز دهی خبرگان'!$F24=4,'طیف فازی'!$D$5,'طیف فازی'!$D$6)))))</f>
        <v>1</v>
      </c>
      <c r="O24" s="17">
        <f>IF('امتیاز دهی خبرگان'!$G24=0,0,IF('امتیاز دهی خبرگان'!$G24=1,'طیف فازی'!$B$2,IF('امتیاز دهی خبرگان'!$G24=2,'طیف فازی'!$B$3,IF('امتیاز دهی خبرگان'!$G24=3,'طیف فازی'!$B$4,IF('امتیاز دهی خبرگان'!$G24=4,'طیف فازی'!$B$5,'طیف فازی'!$B$6)))))</f>
        <v>0.25</v>
      </c>
      <c r="P24" s="18">
        <f>IF('امتیاز دهی خبرگان'!$G24=0,0,IF('امتیاز دهی خبرگان'!$G24=1,'طیف فازی'!$C$2,IF('امتیاز دهی خبرگان'!$G24=2,'طیف فازی'!$C$3,IF('امتیاز دهی خبرگان'!$G24=3,'طیف فازی'!$C$4,IF('امتیاز دهی خبرگان'!$G24=4,'طیف فازی'!$C$5,'طیف فازی'!$C$6)))))</f>
        <v>0.5</v>
      </c>
      <c r="Q24" s="19">
        <f>IF('امتیاز دهی خبرگان'!$G24=0,0,IF('امتیاز دهی خبرگان'!$G24=1,'طیف فازی'!$D$2,IF('امتیاز دهی خبرگان'!$G24=2,'طیف فازی'!$D$3,IF('امتیاز دهی خبرگان'!$G24=3,'طیف فازی'!$D$4,IF('امتیاز دهی خبرگان'!$G24=4,'طیف فازی'!$D$5,'طیف فازی'!$D$6)))))</f>
        <v>0.75</v>
      </c>
      <c r="R24" s="17">
        <f>IF('امتیاز دهی خبرگان'!$H24=0,0,IF('امتیاز دهی خبرگان'!$H24=1,'طیف فازی'!$B$2,IF('امتیاز دهی خبرگان'!$H24=2,'طیف فازی'!$B$3,IF('امتیاز دهی خبرگان'!$H24=3,'طیف فازی'!$B$4,IF('امتیاز دهی خبرگان'!$H24=4,'طیف فازی'!$B$5,'طیف فازی'!$B$6)))))</f>
        <v>0.5</v>
      </c>
      <c r="S24" s="18">
        <f>IF('امتیاز دهی خبرگان'!$H24=0,0,IF('امتیاز دهی خبرگان'!$H24=1,'طیف فازی'!$C$2,IF('امتیاز دهی خبرگان'!$H24=2,'طیف فازی'!$C$3,IF('امتیاز دهی خبرگان'!$H24=3,'طیف فازی'!$C$4,IF('امتیاز دهی خبرگان'!$H24=4,'طیف فازی'!$C$5,'طیف فازی'!$C$6)))))</f>
        <v>0.75</v>
      </c>
      <c r="T24" s="19">
        <f>IF('امتیاز دهی خبرگان'!$H24=0,0,IF('امتیاز دهی خبرگان'!$H24=1,'طیف فازی'!$D$2,IF('امتیاز دهی خبرگان'!$H24=2,'طیف فازی'!$D$3,IF('امتیاز دهی خبرگان'!$H24=3,'طیف فازی'!$D$4,IF('امتیاز دهی خبرگان'!$H24=4,'طیف فازی'!$D$5,'طیف فازی'!$D$6)))))</f>
        <v>1</v>
      </c>
      <c r="U24" s="17">
        <f>IF('امتیاز دهی خبرگان'!$I24=0,0,IF('امتیاز دهی خبرگان'!$I24=1,'طیف فازی'!$B$2,IF('امتیاز دهی خبرگان'!$I24=2,'طیف فازی'!$B$3,IF('امتیاز دهی خبرگان'!$I24=3,'طیف فازی'!$B$4,IF('امتیاز دهی خبرگان'!$I24=4,'طیف فازی'!$B$5,'طیف فازی'!$B$6)))))</f>
        <v>0.75</v>
      </c>
      <c r="V24" s="18">
        <f>IF('امتیاز دهی خبرگان'!$I24=0,0,IF('امتیاز دهی خبرگان'!$I24=1,'طیف فازی'!$C$2,IF('امتیاز دهی خبرگان'!$I24=2,'طیف فازی'!$C$3,IF('امتیاز دهی خبرگان'!$I24=3,'طیف فازی'!$C$4,IF('امتیاز دهی خبرگان'!$I24=4,'طیف فازی'!$C$5,'طیف فازی'!$C$6)))))</f>
        <v>1</v>
      </c>
      <c r="W24" s="19">
        <f>IF('امتیاز دهی خبرگان'!$I24=0,0,IF('امتیاز دهی خبرگان'!$I24=1,'طیف فازی'!$D$2,IF('امتیاز دهی خبرگان'!$I24=2,'طیف فازی'!$D$3,IF('امتیاز دهی خبرگان'!$I24=3,'طیف فازی'!$D$4,IF('امتیاز دهی خبرگان'!$I24=4,'طیف فازی'!$D$5,'طیف فازی'!$D$6)))))</f>
        <v>1</v>
      </c>
      <c r="X24" s="17">
        <f>IF('امتیاز دهی خبرگان'!$J24=0,0,IF('امتیاز دهی خبرگان'!$J24=1,'طیف فازی'!$B$2,IF('امتیاز دهی خبرگان'!$J24=2,'طیف فازی'!$B$3,IF('امتیاز دهی خبرگان'!$J24=3,'طیف فازی'!$B$4,IF('امتیاز دهی خبرگان'!$J24=4,'طیف فازی'!$B$5,'طیف فازی'!$B$6)))))</f>
        <v>0.5</v>
      </c>
      <c r="Y24" s="18">
        <f>IF('امتیاز دهی خبرگان'!$J24=0,0,IF('امتیاز دهی خبرگان'!$J24=1,'طیف فازی'!$C$2,IF('امتیاز دهی خبرگان'!$J24=2,'طیف فازی'!$C$3,IF('امتیاز دهی خبرگان'!$J24=3,'طیف فازی'!$C$4,IF('امتیاز دهی خبرگان'!$J24=4,'طیف فازی'!$C$5,'طیف فازی'!$C$6)))))</f>
        <v>0.75</v>
      </c>
      <c r="Z24" s="19">
        <f>IF('امتیاز دهی خبرگان'!$J24=0,0,IF('امتیاز دهی خبرگان'!$J24=1,'طیف فازی'!$D$2,IF('امتیاز دهی خبرگان'!$J24=2,'طیف فازی'!$D$3,IF('امتیاز دهی خبرگان'!$J24=3,'طیف فازی'!$D$4,IF('امتیاز دهی خبرگان'!$J24=4,'طیف فازی'!$D$5,'طیف فازی'!$D$6)))))</f>
        <v>1</v>
      </c>
      <c r="AA24" s="17">
        <f>IF('امتیاز دهی خبرگان'!$K24=0,0,IF('امتیاز دهی خبرگان'!$K24=1,'طیف فازی'!$B$2,IF('امتیاز دهی خبرگان'!$K24=2,'طیف فازی'!$B$3,IF('امتیاز دهی خبرگان'!$K24=3,'طیف فازی'!$B$4,IF('امتیاز دهی خبرگان'!$K24=4,'طیف فازی'!$B$5,'طیف فازی'!$B$6)))))</f>
        <v>0.75</v>
      </c>
      <c r="AB24" s="18">
        <f>IF('امتیاز دهی خبرگان'!$K24=0,0,IF('امتیاز دهی خبرگان'!$K24=1,'طیف فازی'!$C$2,IF('امتیاز دهی خبرگان'!$K24=2,'طیف فازی'!$C$3,IF('امتیاز دهی خبرگان'!$K24=3,'طیف فازی'!$C$4,IF('امتیاز دهی خبرگان'!$K24=4,'طیف فازی'!$C$5,'طیف فازی'!$C$6)))))</f>
        <v>1</v>
      </c>
      <c r="AC24" s="19">
        <f>IF('امتیاز دهی خبرگان'!$K24=0,0,IF('امتیاز دهی خبرگان'!$K24=1,'طیف فازی'!$D$2,IF('امتیاز دهی خبرگان'!$K24=2,'طیف فازی'!$D$3,IF('امتیاز دهی خبرگان'!$K24=3,'طیف فازی'!$D$4,IF('امتیاز دهی خبرگان'!$K24=4,'طیف فازی'!$D$5,'طیف فازی'!$D$6)))))</f>
        <v>1</v>
      </c>
      <c r="AD24" s="17">
        <f>IF('امتیاز دهی خبرگان'!$L24=0,0,IF('امتیاز دهی خبرگان'!$L24=1,'طیف فازی'!$B$2,IF('امتیاز دهی خبرگان'!$L24=2,'طیف فازی'!$B$3,IF('امتیاز دهی خبرگان'!$L24=3,'طیف فازی'!$B$4,IF('امتیاز دهی خبرگان'!$L24=4,'طیف فازی'!$B$5,'طیف فازی'!$B$6)))))</f>
        <v>0.75</v>
      </c>
      <c r="AE24" s="18">
        <f>IF('امتیاز دهی خبرگان'!$L24=0,0,IF('امتیاز دهی خبرگان'!$L24=1,'طیف فازی'!$C$2,IF('امتیاز دهی خبرگان'!$L24=2,'طیف فازی'!$C$3,IF('امتیاز دهی خبرگان'!$L24=3,'طیف فازی'!$C$4,IF('امتیاز دهی خبرگان'!$L24=4,'طیف فازی'!$C$5,'طیف فازی'!$C$6)))))</f>
        <v>1</v>
      </c>
      <c r="AF24" s="19">
        <f>IF('امتیاز دهی خبرگان'!$L24=0,0,IF('امتیاز دهی خبرگان'!$L24=1,'طیف فازی'!$D$2,IF('امتیاز دهی خبرگان'!$L24=2,'طیف فازی'!$D$3,IF('امتیاز دهی خبرگان'!$L24=3,'طیف فازی'!$D$4,IF('امتیاز دهی خبرگان'!$L24=4,'طیف فازی'!$D$5,'طیف فازی'!$D$6)))))</f>
        <v>1</v>
      </c>
      <c r="AG24" s="17">
        <f>IF('امتیاز دهی خبرگان'!$M24=0,0,IF('امتیاز دهی خبرگان'!$M24=1,'طیف فازی'!$B$2,IF('امتیاز دهی خبرگان'!$M24=2,'طیف فازی'!$B$3,IF('امتیاز دهی خبرگان'!$M24=3,'طیف فازی'!$B$4,IF('امتیاز دهی خبرگان'!$M24=4,'طیف فازی'!$B$5,'طیف فازی'!$B$6)))))</f>
        <v>0.75</v>
      </c>
      <c r="AH24" s="18">
        <f>IF('امتیاز دهی خبرگان'!$M24=0,0,IF('امتیاز دهی خبرگان'!$M24=1,'طیف فازی'!$C$2,IF('امتیاز دهی خبرگان'!$M24=2,'طیف فازی'!$C$3,IF('امتیاز دهی خبرگان'!$M24=3,'طیف فازی'!$C$4,IF('امتیاز دهی خبرگان'!$M24=4,'طیف فازی'!$C$5,'طیف فازی'!$C$6)))))</f>
        <v>1</v>
      </c>
      <c r="AI24" s="19">
        <f>IF('امتیاز دهی خبرگان'!$M24=0,0,IF('امتیاز دهی خبرگان'!$M24=1,'طیف فازی'!$D$2,IF('امتیاز دهی خبرگان'!$M24=2,'طیف فازی'!$D$3,IF('امتیاز دهی خبرگان'!$M24=3,'طیف فازی'!$D$4,IF('امتیاز دهی خبرگان'!$M24=4,'طیف فازی'!$D$5,'طیف فازی'!$D$6)))))</f>
        <v>1</v>
      </c>
      <c r="AJ24" s="17">
        <f>IF('امتیاز دهی خبرگان'!$N24=0,0,IF('امتیاز دهی خبرگان'!$N24=1,'طیف فازی'!$B$2,IF('امتیاز دهی خبرگان'!$N24=2,'طیف فازی'!$B$3,IF('امتیاز دهی خبرگان'!$N24=3,'طیف فازی'!$B$4,IF('امتیاز دهی خبرگان'!$N24=4,'طیف فازی'!$B$5,'طیف فازی'!$B$6)))))</f>
        <v>0.75</v>
      </c>
      <c r="AK24" s="18">
        <f>IF('امتیاز دهی خبرگان'!$N24=0,0,IF('امتیاز دهی خبرگان'!$N24=1,'طیف فازی'!$C$2,IF('امتیاز دهی خبرگان'!$N24=2,'طیف فازی'!$C$3,IF('امتیاز دهی خبرگان'!$N24=3,'طیف فازی'!$C$4,IF('امتیاز دهی خبرگان'!$N24=4,'طیف فازی'!$C$5,'طیف فازی'!$C$6)))))</f>
        <v>1</v>
      </c>
      <c r="AL24" s="19">
        <f>IF('امتیاز دهی خبرگان'!$N24=0,0,IF('امتیاز دهی خبرگان'!$N24=1,'طیف فازی'!$D$2,IF('امتیاز دهی خبرگان'!$N24=2,'طیف فازی'!$D$3,IF('امتیاز دهی خبرگان'!$N24=3,'طیف فازی'!$D$4,IF('امتیاز دهی خبرگان'!$N24=4,'طیف فازی'!$D$5,'طیف فازی'!$D$6)))))</f>
        <v>1</v>
      </c>
      <c r="AM24" s="23">
        <f t="shared" si="1"/>
        <v>7</v>
      </c>
      <c r="AN24" s="23">
        <f t="shared" si="2"/>
        <v>10</v>
      </c>
      <c r="AO24" s="24">
        <f t="shared" si="3"/>
        <v>11.25</v>
      </c>
      <c r="AP24" s="25">
        <f t="shared" si="4"/>
        <v>0.58333333333333337</v>
      </c>
      <c r="AQ24" s="23">
        <f t="shared" si="5"/>
        <v>0.83333333333333337</v>
      </c>
      <c r="AR24" s="24">
        <f t="shared" si="6"/>
        <v>0.9375</v>
      </c>
      <c r="AS24" s="24">
        <f t="shared" si="7"/>
        <v>0.78472222222222232</v>
      </c>
      <c r="AT24" s="24" t="str">
        <f t="shared" si="8"/>
        <v>Pass</v>
      </c>
    </row>
    <row r="25" spans="2:46" ht="23.25" customHeight="1" thickBot="1" x14ac:dyDescent="0.85">
      <c r="B25" s="2">
        <v>23</v>
      </c>
      <c r="C25" s="17">
        <f>IF('امتیاز دهی خبرگان'!$C25=0,0,IF('امتیاز دهی خبرگان'!$C25=1,'طیف فازی'!$B$2,IF('امتیاز دهی خبرگان'!$C25=2,'طیف فازی'!$B$3,IF('امتیاز دهی خبرگان'!$C25=3,'طیف فازی'!$B$4,IF('امتیاز دهی خبرگان'!$C25=4,'طیف فازی'!$B$5,'طیف فازی'!$B$6)))))</f>
        <v>0.75</v>
      </c>
      <c r="D25" s="18">
        <f>IF('امتیاز دهی خبرگان'!$C25=0,0,IF('امتیاز دهی خبرگان'!$C25=1,'طیف فازی'!$C$2,IF('امتیاز دهی خبرگان'!$C25=2,'طیف فازی'!$C$3,IF('امتیاز دهی خبرگان'!$C25=3,'طیف فازی'!$C$4,IF('امتیاز دهی خبرگان'!$C25=4,'طیف فازی'!$C$5,'طیف فازی'!$C$6)))))</f>
        <v>1</v>
      </c>
      <c r="E25" s="19">
        <f>IF('امتیاز دهی خبرگان'!$C25=0,0,IF('امتیاز دهی خبرگان'!$C25=1,'طیف فازی'!$D$2,IF('امتیاز دهی خبرگان'!$C25=2,'طیف فازی'!$D$3,IF('امتیاز دهی خبرگان'!$C25=3,'طیف فازی'!$D$4,IF('امتیاز دهی خبرگان'!$C25=4,'طیف فازی'!$D$5,'طیف فازی'!$D$6)))))</f>
        <v>1</v>
      </c>
      <c r="F25" s="20">
        <f>IF('امتیاز دهی خبرگان'!$D25=0,0,IF('امتیاز دهی خبرگان'!$D25=1,'طیف فازی'!$B$2,IF('امتیاز دهی خبرگان'!$D25=2,'طیف فازی'!$B$3,IF('امتیاز دهی خبرگان'!$D25=3,'طیف فازی'!$B$4,IF('امتیاز دهی خبرگان'!$D25=4,'طیف فازی'!$B$5,'طیف فازی'!$B$6)))))</f>
        <v>0.25</v>
      </c>
      <c r="G25" s="21">
        <f>IF('امتیاز دهی خبرگان'!$D25=0,0,IF('امتیاز دهی خبرگان'!$D25=1,'طیف فازی'!$D$2,IF('امتیاز دهی خبرگان'!$D25=2,'طیف فازی'!$C$3,IF('امتیاز دهی خبرگان'!$D25=3,'طیف فازی'!$C$4,IF('امتیاز دهی خبرگان'!$D25=4,'طیف فازی'!$C$5,'طیف فازی'!$C$6)))))</f>
        <v>0.5</v>
      </c>
      <c r="H25" s="22">
        <f>IF('امتیاز دهی خبرگان'!$D25=0,0,IF('امتیاز دهی خبرگان'!$D25=1,'طیف فازی'!$D$2,IF('امتیاز دهی خبرگان'!$D25=2,'طیف فازی'!$D$3,IF('امتیاز دهی خبرگان'!$D25=3,'طیف فازی'!$D$4,IF('امتیاز دهی خبرگان'!$D25=4,'طیف فازی'!$D$5,'طیف فازی'!$D$6)))))</f>
        <v>0.75</v>
      </c>
      <c r="I25" s="17">
        <f>IF('امتیاز دهی خبرگان'!$E25=0,0,IF('امتیاز دهی خبرگان'!$E25=1,'طیف فازی'!$B$2,IF('امتیاز دهی خبرگان'!$E25=2,'طیف فازی'!$B$3,IF('امتیاز دهی خبرگان'!$E25=3,'طیف فازی'!$B$4,IF('امتیاز دهی خبرگان'!$E25=4,'طیف فازی'!$B$5,'طیف فازی'!$B$6)))))</f>
        <v>0.75</v>
      </c>
      <c r="J25" s="18">
        <f>IF('امتیاز دهی خبرگان'!$E25=0,0,IF('امتیاز دهی خبرگان'!$E25=1,'طیف فازی'!$C$2,IF('امتیاز دهی خبرگان'!$E25=2,'طیف فازی'!$C$3,IF('امتیاز دهی خبرگان'!$E25=3,'طیف فازی'!$C$4,IF('امتیاز دهی خبرگان'!$E25=4,'طیف فازی'!$C$5,'طیف فازی'!$C$6)))))</f>
        <v>1</v>
      </c>
      <c r="K25" s="19">
        <f>IF('امتیاز دهی خبرگان'!$E25=0,0,IF('امتیاز دهی خبرگان'!$E25=1,'طیف فازی'!$D$2,IF('امتیاز دهی خبرگان'!$E25=2,'طیف فازی'!$D$3,IF('امتیاز دهی خبرگان'!$E25=3,'طیف فازی'!$D$4,IF('امتیاز دهی خبرگان'!$E25=4,'طیف فازی'!$D$5,'طیف فازی'!$D$6)))))</f>
        <v>1</v>
      </c>
      <c r="L25" s="17">
        <f>IF('امتیاز دهی خبرگان'!$F25=0,0,IF('امتیاز دهی خبرگان'!$F25=1,'طیف فازی'!$B$2,IF('امتیاز دهی خبرگان'!$F25=2,'طیف فازی'!$B$3,IF('امتیاز دهی خبرگان'!$F25=3,'طیف فازی'!$B$4,IF('امتیاز دهی خبرگان'!$F25=4,'طیف فازی'!$B$5,'طیف فازی'!$B$6)))))</f>
        <v>0.5</v>
      </c>
      <c r="M25" s="18">
        <f>IF('امتیاز دهی خبرگان'!$F25=0,0,IF('امتیاز دهی خبرگان'!$F25=1,'طیف فازی'!$C$2,IF('امتیاز دهی خبرگان'!$F25=2,'طیف فازی'!$C$3,IF('امتیاز دهی خبرگان'!$F25=3,'طیف فازی'!$C$4,IF('امتیاز دهی خبرگان'!$F25=4,'طیف فازی'!$C$5,'طیف فازی'!$C$6)))))</f>
        <v>0.75</v>
      </c>
      <c r="N25" s="19">
        <f>IF('امتیاز دهی خبرگان'!$F25=0,0,IF('امتیاز دهی خبرگان'!$F25=1,'طیف فازی'!$D$2,IF('امتیاز دهی خبرگان'!$F25=2,'طیف فازی'!$D$3,IF('امتیاز دهی خبرگان'!$F25=3,'طیف فازی'!$D$4,IF('امتیاز دهی خبرگان'!$F25=4,'طیف فازی'!$D$5,'طیف فازی'!$D$6)))))</f>
        <v>1</v>
      </c>
      <c r="O25" s="17">
        <f>IF('امتیاز دهی خبرگان'!$G25=0,0,IF('امتیاز دهی خبرگان'!$G25=1,'طیف فازی'!$B$2,IF('امتیاز دهی خبرگان'!$G25=2,'طیف فازی'!$B$3,IF('امتیاز دهی خبرگان'!$G25=3,'طیف فازی'!$B$4,IF('امتیاز دهی خبرگان'!$G25=4,'طیف فازی'!$B$5,'طیف فازی'!$B$6)))))</f>
        <v>0</v>
      </c>
      <c r="P25" s="18">
        <f>IF('امتیاز دهی خبرگان'!$G25=0,0,IF('امتیاز دهی خبرگان'!$G25=1,'طیف فازی'!$C$2,IF('امتیاز دهی خبرگان'!$G25=2,'طیف فازی'!$C$3,IF('امتیاز دهی خبرگان'!$G25=3,'طیف فازی'!$C$4,IF('امتیاز دهی خبرگان'!$G25=4,'طیف فازی'!$C$5,'طیف فازی'!$C$6)))))</f>
        <v>0.25</v>
      </c>
      <c r="Q25" s="19">
        <f>IF('امتیاز دهی خبرگان'!$G25=0,0,IF('امتیاز دهی خبرگان'!$G25=1,'طیف فازی'!$D$2,IF('امتیاز دهی خبرگان'!$G25=2,'طیف فازی'!$D$3,IF('امتیاز دهی خبرگان'!$G25=3,'طیف فازی'!$D$4,IF('امتیاز دهی خبرگان'!$G25=4,'طیف فازی'!$D$5,'طیف فازی'!$D$6)))))</f>
        <v>0.5</v>
      </c>
      <c r="R25" s="17">
        <f>IF('امتیاز دهی خبرگان'!$H25=0,0,IF('امتیاز دهی خبرگان'!$H25=1,'طیف فازی'!$B$2,IF('امتیاز دهی خبرگان'!$H25=2,'طیف فازی'!$B$3,IF('امتیاز دهی خبرگان'!$H25=3,'طیف فازی'!$B$4,IF('امتیاز دهی خبرگان'!$H25=4,'طیف فازی'!$B$5,'طیف فازی'!$B$6)))))</f>
        <v>0</v>
      </c>
      <c r="S25" s="18">
        <f>IF('امتیاز دهی خبرگان'!$H25=0,0,IF('امتیاز دهی خبرگان'!$H25=1,'طیف فازی'!$C$2,IF('امتیاز دهی خبرگان'!$H25=2,'طیف فازی'!$C$3,IF('امتیاز دهی خبرگان'!$H25=3,'طیف فازی'!$C$4,IF('امتیاز دهی خبرگان'!$H25=4,'طیف فازی'!$C$5,'طیف فازی'!$C$6)))))</f>
        <v>0.25</v>
      </c>
      <c r="T25" s="19">
        <f>IF('امتیاز دهی خبرگان'!$H25=0,0,IF('امتیاز دهی خبرگان'!$H25=1,'طیف فازی'!$D$2,IF('امتیاز دهی خبرگان'!$H25=2,'طیف فازی'!$D$3,IF('امتیاز دهی خبرگان'!$H25=3,'طیف فازی'!$D$4,IF('امتیاز دهی خبرگان'!$H25=4,'طیف فازی'!$D$5,'طیف فازی'!$D$6)))))</f>
        <v>0.5</v>
      </c>
      <c r="U25" s="17">
        <f>IF('امتیاز دهی خبرگان'!$I25=0,0,IF('امتیاز دهی خبرگان'!$I25=1,'طیف فازی'!$B$2,IF('امتیاز دهی خبرگان'!$I25=2,'طیف فازی'!$B$3,IF('امتیاز دهی خبرگان'!$I25=3,'طیف فازی'!$B$4,IF('امتیاز دهی خبرگان'!$I25=4,'طیف فازی'!$B$5,'طیف فازی'!$B$6)))))</f>
        <v>0.75</v>
      </c>
      <c r="V25" s="18">
        <f>IF('امتیاز دهی خبرگان'!$I25=0,0,IF('امتیاز دهی خبرگان'!$I25=1,'طیف فازی'!$C$2,IF('امتیاز دهی خبرگان'!$I25=2,'طیف فازی'!$C$3,IF('امتیاز دهی خبرگان'!$I25=3,'طیف فازی'!$C$4,IF('امتیاز دهی خبرگان'!$I25=4,'طیف فازی'!$C$5,'طیف فازی'!$C$6)))))</f>
        <v>1</v>
      </c>
      <c r="W25" s="19">
        <f>IF('امتیاز دهی خبرگان'!$I25=0,0,IF('امتیاز دهی خبرگان'!$I25=1,'طیف فازی'!$D$2,IF('امتیاز دهی خبرگان'!$I25=2,'طیف فازی'!$D$3,IF('امتیاز دهی خبرگان'!$I25=3,'طیف فازی'!$D$4,IF('امتیاز دهی خبرگان'!$I25=4,'طیف فازی'!$D$5,'طیف فازی'!$D$6)))))</f>
        <v>1</v>
      </c>
      <c r="X25" s="17">
        <f>IF('امتیاز دهی خبرگان'!$J25=0,0,IF('امتیاز دهی خبرگان'!$J25=1,'طیف فازی'!$B$2,IF('امتیاز دهی خبرگان'!$J25=2,'طیف فازی'!$B$3,IF('امتیاز دهی خبرگان'!$J25=3,'طیف فازی'!$B$4,IF('امتیاز دهی خبرگان'!$J25=4,'طیف فازی'!$B$5,'طیف فازی'!$B$6)))))</f>
        <v>0.75</v>
      </c>
      <c r="Y25" s="18">
        <f>IF('امتیاز دهی خبرگان'!$J25=0,0,IF('امتیاز دهی خبرگان'!$J25=1,'طیف فازی'!$C$2,IF('امتیاز دهی خبرگان'!$J25=2,'طیف فازی'!$C$3,IF('امتیاز دهی خبرگان'!$J25=3,'طیف فازی'!$C$4,IF('امتیاز دهی خبرگان'!$J25=4,'طیف فازی'!$C$5,'طیف فازی'!$C$6)))))</f>
        <v>1</v>
      </c>
      <c r="Z25" s="19">
        <f>IF('امتیاز دهی خبرگان'!$J25=0,0,IF('امتیاز دهی خبرگان'!$J25=1,'طیف فازی'!$D$2,IF('امتیاز دهی خبرگان'!$J25=2,'طیف فازی'!$D$3,IF('امتیاز دهی خبرگان'!$J25=3,'طیف فازی'!$D$4,IF('امتیاز دهی خبرگان'!$J25=4,'طیف فازی'!$D$5,'طیف فازی'!$D$6)))))</f>
        <v>1</v>
      </c>
      <c r="AA25" s="17">
        <f>IF('امتیاز دهی خبرگان'!$K25=0,0,IF('امتیاز دهی خبرگان'!$K25=1,'طیف فازی'!$B$2,IF('امتیاز دهی خبرگان'!$K25=2,'طیف فازی'!$B$3,IF('امتیاز دهی خبرگان'!$K25=3,'طیف فازی'!$B$4,IF('امتیاز دهی خبرگان'!$K25=4,'طیف فازی'!$B$5,'طیف فازی'!$B$6)))))</f>
        <v>0.5</v>
      </c>
      <c r="AB25" s="18">
        <f>IF('امتیاز دهی خبرگان'!$K25=0,0,IF('امتیاز دهی خبرگان'!$K25=1,'طیف فازی'!$C$2,IF('امتیاز دهی خبرگان'!$K25=2,'طیف فازی'!$C$3,IF('امتیاز دهی خبرگان'!$K25=3,'طیف فازی'!$C$4,IF('امتیاز دهی خبرگان'!$K25=4,'طیف فازی'!$C$5,'طیف فازی'!$C$6)))))</f>
        <v>0.75</v>
      </c>
      <c r="AC25" s="19">
        <f>IF('امتیاز دهی خبرگان'!$K25=0,0,IF('امتیاز دهی خبرگان'!$K25=1,'طیف فازی'!$D$2,IF('امتیاز دهی خبرگان'!$K25=2,'طیف فازی'!$D$3,IF('امتیاز دهی خبرگان'!$K25=3,'طیف فازی'!$D$4,IF('امتیاز دهی خبرگان'!$K25=4,'طیف فازی'!$D$5,'طیف فازی'!$D$6)))))</f>
        <v>1</v>
      </c>
      <c r="AD25" s="17">
        <f>IF('امتیاز دهی خبرگان'!$L25=0,0,IF('امتیاز دهی خبرگان'!$L25=1,'طیف فازی'!$B$2,IF('امتیاز دهی خبرگان'!$L25=2,'طیف فازی'!$B$3,IF('امتیاز دهی خبرگان'!$L25=3,'طیف فازی'!$B$4,IF('امتیاز دهی خبرگان'!$L25=4,'طیف فازی'!$B$5,'طیف فازی'!$B$6)))))</f>
        <v>0.5</v>
      </c>
      <c r="AE25" s="18">
        <f>IF('امتیاز دهی خبرگان'!$L25=0,0,IF('امتیاز دهی خبرگان'!$L25=1,'طیف فازی'!$C$2,IF('امتیاز دهی خبرگان'!$L25=2,'طیف فازی'!$C$3,IF('امتیاز دهی خبرگان'!$L25=3,'طیف فازی'!$C$4,IF('امتیاز دهی خبرگان'!$L25=4,'طیف فازی'!$C$5,'طیف فازی'!$C$6)))))</f>
        <v>0.75</v>
      </c>
      <c r="AF25" s="19">
        <f>IF('امتیاز دهی خبرگان'!$L25=0,0,IF('امتیاز دهی خبرگان'!$L25=1,'طیف فازی'!$D$2,IF('امتیاز دهی خبرگان'!$L25=2,'طیف فازی'!$D$3,IF('امتیاز دهی خبرگان'!$L25=3,'طیف فازی'!$D$4,IF('امتیاز دهی خبرگان'!$L25=4,'طیف فازی'!$D$5,'طیف فازی'!$D$6)))))</f>
        <v>1</v>
      </c>
      <c r="AG25" s="17">
        <f>IF('امتیاز دهی خبرگان'!$M25=0,0,IF('امتیاز دهی خبرگان'!$M25=1,'طیف فازی'!$B$2,IF('امتیاز دهی خبرگان'!$M25=2,'طیف فازی'!$B$3,IF('امتیاز دهی خبرگان'!$M25=3,'طیف فازی'!$B$4,IF('امتیاز دهی خبرگان'!$M25=4,'طیف فازی'!$B$5,'طیف فازی'!$B$6)))))</f>
        <v>0.75</v>
      </c>
      <c r="AH25" s="18">
        <f>IF('امتیاز دهی خبرگان'!$M25=0,0,IF('امتیاز دهی خبرگان'!$M25=1,'طیف فازی'!$C$2,IF('امتیاز دهی خبرگان'!$M25=2,'طیف فازی'!$C$3,IF('امتیاز دهی خبرگان'!$M25=3,'طیف فازی'!$C$4,IF('امتیاز دهی خبرگان'!$M25=4,'طیف فازی'!$C$5,'طیف فازی'!$C$6)))))</f>
        <v>1</v>
      </c>
      <c r="AI25" s="19">
        <f>IF('امتیاز دهی خبرگان'!$M25=0,0,IF('امتیاز دهی خبرگان'!$M25=1,'طیف فازی'!$D$2,IF('امتیاز دهی خبرگان'!$M25=2,'طیف فازی'!$D$3,IF('امتیاز دهی خبرگان'!$M25=3,'طیف فازی'!$D$4,IF('امتیاز دهی خبرگان'!$M25=4,'طیف فازی'!$D$5,'طیف فازی'!$D$6)))))</f>
        <v>1</v>
      </c>
      <c r="AJ25" s="17">
        <f>IF('امتیاز دهی خبرگان'!$N25=0,0,IF('امتیاز دهی خبرگان'!$N25=1,'طیف فازی'!$B$2,IF('امتیاز دهی خبرگان'!$N25=2,'طیف فازی'!$B$3,IF('امتیاز دهی خبرگان'!$N25=3,'طیف فازی'!$B$4,IF('امتیاز دهی خبرگان'!$N25=4,'طیف فازی'!$B$5,'طیف فازی'!$B$6)))))</f>
        <v>0.75</v>
      </c>
      <c r="AK25" s="18">
        <f>IF('امتیاز دهی خبرگان'!$N25=0,0,IF('امتیاز دهی خبرگان'!$N25=1,'طیف فازی'!$C$2,IF('امتیاز دهی خبرگان'!$N25=2,'طیف فازی'!$C$3,IF('امتیاز دهی خبرگان'!$N25=3,'طیف فازی'!$C$4,IF('امتیاز دهی خبرگان'!$N25=4,'طیف فازی'!$C$5,'طیف فازی'!$C$6)))))</f>
        <v>1</v>
      </c>
      <c r="AL25" s="19">
        <f>IF('امتیاز دهی خبرگان'!$N25=0,0,IF('امتیاز دهی خبرگان'!$N25=1,'طیف فازی'!$D$2,IF('امتیاز دهی خبرگان'!$N25=2,'طیف فازی'!$D$3,IF('امتیاز دهی خبرگان'!$N25=3,'طیف فازی'!$D$4,IF('امتیاز دهی خبرگان'!$N25=4,'طیف فازی'!$D$5,'طیف فازی'!$D$6)))))</f>
        <v>1</v>
      </c>
      <c r="AM25" s="23">
        <f t="shared" si="1"/>
        <v>6.25</v>
      </c>
      <c r="AN25" s="23">
        <f t="shared" si="2"/>
        <v>9.25</v>
      </c>
      <c r="AO25" s="24">
        <f t="shared" si="3"/>
        <v>10.75</v>
      </c>
      <c r="AP25" s="25">
        <f t="shared" si="4"/>
        <v>0.52083333333333337</v>
      </c>
      <c r="AQ25" s="23">
        <f t="shared" si="5"/>
        <v>0.77083333333333337</v>
      </c>
      <c r="AR25" s="24">
        <f t="shared" si="6"/>
        <v>0.89583333333333337</v>
      </c>
      <c r="AS25" s="24">
        <f t="shared" si="7"/>
        <v>0.72916666666666663</v>
      </c>
      <c r="AT25" s="24" t="str">
        <f t="shared" si="8"/>
        <v>Pass</v>
      </c>
    </row>
    <row r="26" spans="2:46" ht="23.25" customHeight="1" thickBot="1" x14ac:dyDescent="0.85">
      <c r="B26" s="2">
        <v>24</v>
      </c>
      <c r="C26" s="17">
        <f>IF('امتیاز دهی خبرگان'!$C26=0,0,IF('امتیاز دهی خبرگان'!$C26=1,'طیف فازی'!$B$2,IF('امتیاز دهی خبرگان'!$C26=2,'طیف فازی'!$B$3,IF('امتیاز دهی خبرگان'!$C26=3,'طیف فازی'!$B$4,IF('امتیاز دهی خبرگان'!$C26=4,'طیف فازی'!$B$5,'طیف فازی'!$B$6)))))</f>
        <v>0.75</v>
      </c>
      <c r="D26" s="18">
        <f>IF('امتیاز دهی خبرگان'!$C26=0,0,IF('امتیاز دهی خبرگان'!$C26=1,'طیف فازی'!$C$2,IF('امتیاز دهی خبرگان'!$C26=2,'طیف فازی'!$C$3,IF('امتیاز دهی خبرگان'!$C26=3,'طیف فازی'!$C$4,IF('امتیاز دهی خبرگان'!$C26=4,'طیف فازی'!$C$5,'طیف فازی'!$C$6)))))</f>
        <v>1</v>
      </c>
      <c r="E26" s="19">
        <f>IF('امتیاز دهی خبرگان'!$C26=0,0,IF('امتیاز دهی خبرگان'!$C26=1,'طیف فازی'!$D$2,IF('امتیاز دهی خبرگان'!$C26=2,'طیف فازی'!$D$3,IF('امتیاز دهی خبرگان'!$C26=3,'طیف فازی'!$D$4,IF('امتیاز دهی خبرگان'!$C26=4,'طیف فازی'!$D$5,'طیف فازی'!$D$6)))))</f>
        <v>1</v>
      </c>
      <c r="F26" s="20">
        <f>IF('امتیاز دهی خبرگان'!$D26=0,0,IF('امتیاز دهی خبرگان'!$D26=1,'طیف فازی'!$B$2,IF('امتیاز دهی خبرگان'!$D26=2,'طیف فازی'!$B$3,IF('امتیاز دهی خبرگان'!$D26=3,'طیف فازی'!$B$4,IF('امتیاز دهی خبرگان'!$D26=4,'طیف فازی'!$B$5,'طیف فازی'!$B$6)))))</f>
        <v>0.5</v>
      </c>
      <c r="G26" s="21">
        <f>IF('امتیاز دهی خبرگان'!$D26=0,0,IF('امتیاز دهی خبرگان'!$D26=1,'طیف فازی'!$D$2,IF('امتیاز دهی خبرگان'!$D26=2,'طیف فازی'!$C$3,IF('امتیاز دهی خبرگان'!$D26=3,'طیف فازی'!$C$4,IF('امتیاز دهی خبرگان'!$D26=4,'طیف فازی'!$C$5,'طیف فازی'!$C$6)))))</f>
        <v>0.75</v>
      </c>
      <c r="H26" s="22">
        <f>IF('امتیاز دهی خبرگان'!$D26=0,0,IF('امتیاز دهی خبرگان'!$D26=1,'طیف فازی'!$D$2,IF('امتیاز دهی خبرگان'!$D26=2,'طیف فازی'!$D$3,IF('امتیاز دهی خبرگان'!$D26=3,'طیف فازی'!$D$4,IF('امتیاز دهی خبرگان'!$D26=4,'طیف فازی'!$D$5,'طیف فازی'!$D$6)))))</f>
        <v>1</v>
      </c>
      <c r="I26" s="17">
        <f>IF('امتیاز دهی خبرگان'!$E26=0,0,IF('امتیاز دهی خبرگان'!$E26=1,'طیف فازی'!$B$2,IF('امتیاز دهی خبرگان'!$E26=2,'طیف فازی'!$B$3,IF('امتیاز دهی خبرگان'!$E26=3,'طیف فازی'!$B$4,IF('امتیاز دهی خبرگان'!$E26=4,'طیف فازی'!$B$5,'طیف فازی'!$B$6)))))</f>
        <v>0.5</v>
      </c>
      <c r="J26" s="18">
        <f>IF('امتیاز دهی خبرگان'!$E26=0,0,IF('امتیاز دهی خبرگان'!$E26=1,'طیف فازی'!$C$2,IF('امتیاز دهی خبرگان'!$E26=2,'طیف فازی'!$C$3,IF('امتیاز دهی خبرگان'!$E26=3,'طیف فازی'!$C$4,IF('امتیاز دهی خبرگان'!$E26=4,'طیف فازی'!$C$5,'طیف فازی'!$C$6)))))</f>
        <v>0.75</v>
      </c>
      <c r="K26" s="19">
        <f>IF('امتیاز دهی خبرگان'!$E26=0,0,IF('امتیاز دهی خبرگان'!$E26=1,'طیف فازی'!$D$2,IF('امتیاز دهی خبرگان'!$E26=2,'طیف فازی'!$D$3,IF('امتیاز دهی خبرگان'!$E26=3,'طیف فازی'!$D$4,IF('امتیاز دهی خبرگان'!$E26=4,'طیف فازی'!$D$5,'طیف فازی'!$D$6)))))</f>
        <v>1</v>
      </c>
      <c r="L26" s="17">
        <f>IF('امتیاز دهی خبرگان'!$F26=0,0,IF('امتیاز دهی خبرگان'!$F26=1,'طیف فازی'!$B$2,IF('امتیاز دهی خبرگان'!$F26=2,'طیف فازی'!$B$3,IF('امتیاز دهی خبرگان'!$F26=3,'طیف فازی'!$B$4,IF('امتیاز دهی خبرگان'!$F26=4,'طیف فازی'!$B$5,'طیف فازی'!$B$6)))))</f>
        <v>0.5</v>
      </c>
      <c r="M26" s="18">
        <f>IF('امتیاز دهی خبرگان'!$F26=0,0,IF('امتیاز دهی خبرگان'!$F26=1,'طیف فازی'!$C$2,IF('امتیاز دهی خبرگان'!$F26=2,'طیف فازی'!$C$3,IF('امتیاز دهی خبرگان'!$F26=3,'طیف فازی'!$C$4,IF('امتیاز دهی خبرگان'!$F26=4,'طیف فازی'!$C$5,'طیف فازی'!$C$6)))))</f>
        <v>0.75</v>
      </c>
      <c r="N26" s="19">
        <f>IF('امتیاز دهی خبرگان'!$F26=0,0,IF('امتیاز دهی خبرگان'!$F26=1,'طیف فازی'!$D$2,IF('امتیاز دهی خبرگان'!$F26=2,'طیف فازی'!$D$3,IF('امتیاز دهی خبرگان'!$F26=3,'طیف فازی'!$D$4,IF('امتیاز دهی خبرگان'!$F26=4,'طیف فازی'!$D$5,'طیف فازی'!$D$6)))))</f>
        <v>1</v>
      </c>
      <c r="O26" s="17">
        <f>IF('امتیاز دهی خبرگان'!$G26=0,0,IF('امتیاز دهی خبرگان'!$G26=1,'طیف فازی'!$B$2,IF('امتیاز دهی خبرگان'!$G26=2,'طیف فازی'!$B$3,IF('امتیاز دهی خبرگان'!$G26=3,'طیف فازی'!$B$4,IF('امتیاز دهی خبرگان'!$G26=4,'طیف فازی'!$B$5,'طیف فازی'!$B$6)))))</f>
        <v>0.75</v>
      </c>
      <c r="P26" s="18">
        <f>IF('امتیاز دهی خبرگان'!$G26=0,0,IF('امتیاز دهی خبرگان'!$G26=1,'طیف فازی'!$C$2,IF('امتیاز دهی خبرگان'!$G26=2,'طیف فازی'!$C$3,IF('امتیاز دهی خبرگان'!$G26=3,'طیف فازی'!$C$4,IF('امتیاز دهی خبرگان'!$G26=4,'طیف فازی'!$C$5,'طیف فازی'!$C$6)))))</f>
        <v>1</v>
      </c>
      <c r="Q26" s="19">
        <f>IF('امتیاز دهی خبرگان'!$G26=0,0,IF('امتیاز دهی خبرگان'!$G26=1,'طیف فازی'!$D$2,IF('امتیاز دهی خبرگان'!$G26=2,'طیف فازی'!$D$3,IF('امتیاز دهی خبرگان'!$G26=3,'طیف فازی'!$D$4,IF('امتیاز دهی خبرگان'!$G26=4,'طیف فازی'!$D$5,'طیف فازی'!$D$6)))))</f>
        <v>1</v>
      </c>
      <c r="R26" s="17">
        <f>IF('امتیاز دهی خبرگان'!$H26=0,0,IF('امتیاز دهی خبرگان'!$H26=1,'طیف فازی'!$B$2,IF('امتیاز دهی خبرگان'!$H26=2,'طیف فازی'!$B$3,IF('امتیاز دهی خبرگان'!$H26=3,'طیف فازی'!$B$4,IF('امتیاز دهی خبرگان'!$H26=4,'طیف فازی'!$B$5,'طیف فازی'!$B$6)))))</f>
        <v>0.75</v>
      </c>
      <c r="S26" s="18">
        <f>IF('امتیاز دهی خبرگان'!$H26=0,0,IF('امتیاز دهی خبرگان'!$H26=1,'طیف فازی'!$C$2,IF('امتیاز دهی خبرگان'!$H26=2,'طیف فازی'!$C$3,IF('امتیاز دهی خبرگان'!$H26=3,'طیف فازی'!$C$4,IF('امتیاز دهی خبرگان'!$H26=4,'طیف فازی'!$C$5,'طیف فازی'!$C$6)))))</f>
        <v>1</v>
      </c>
      <c r="T26" s="19">
        <f>IF('امتیاز دهی خبرگان'!$H26=0,0,IF('امتیاز دهی خبرگان'!$H26=1,'طیف فازی'!$D$2,IF('امتیاز دهی خبرگان'!$H26=2,'طیف فازی'!$D$3,IF('امتیاز دهی خبرگان'!$H26=3,'طیف فازی'!$D$4,IF('امتیاز دهی خبرگان'!$H26=4,'طیف فازی'!$D$5,'طیف فازی'!$D$6)))))</f>
        <v>1</v>
      </c>
      <c r="U26" s="17">
        <f>IF('امتیاز دهی خبرگان'!$I26=0,0,IF('امتیاز دهی خبرگان'!$I26=1,'طیف فازی'!$B$2,IF('امتیاز دهی خبرگان'!$I26=2,'طیف فازی'!$B$3,IF('امتیاز دهی خبرگان'!$I26=3,'طیف فازی'!$B$4,IF('امتیاز دهی خبرگان'!$I26=4,'طیف فازی'!$B$5,'طیف فازی'!$B$6)))))</f>
        <v>0.5</v>
      </c>
      <c r="V26" s="18">
        <f>IF('امتیاز دهی خبرگان'!$I26=0,0,IF('امتیاز دهی خبرگان'!$I26=1,'طیف فازی'!$C$2,IF('امتیاز دهی خبرگان'!$I26=2,'طیف فازی'!$C$3,IF('امتیاز دهی خبرگان'!$I26=3,'طیف فازی'!$C$4,IF('امتیاز دهی خبرگان'!$I26=4,'طیف فازی'!$C$5,'طیف فازی'!$C$6)))))</f>
        <v>0.75</v>
      </c>
      <c r="W26" s="19">
        <f>IF('امتیاز دهی خبرگان'!$I26=0,0,IF('امتیاز دهی خبرگان'!$I26=1,'طیف فازی'!$D$2,IF('امتیاز دهی خبرگان'!$I26=2,'طیف فازی'!$D$3,IF('امتیاز دهی خبرگان'!$I26=3,'طیف فازی'!$D$4,IF('امتیاز دهی خبرگان'!$I26=4,'طیف فازی'!$D$5,'طیف فازی'!$D$6)))))</f>
        <v>1</v>
      </c>
      <c r="X26" s="17">
        <f>IF('امتیاز دهی خبرگان'!$J26=0,0,IF('امتیاز دهی خبرگان'!$J26=1,'طیف فازی'!$B$2,IF('امتیاز دهی خبرگان'!$J26=2,'طیف فازی'!$B$3,IF('امتیاز دهی خبرگان'!$J26=3,'طیف فازی'!$B$4,IF('امتیاز دهی خبرگان'!$J26=4,'طیف فازی'!$B$5,'طیف فازی'!$B$6)))))</f>
        <v>0.5</v>
      </c>
      <c r="Y26" s="18">
        <f>IF('امتیاز دهی خبرگان'!$J26=0,0,IF('امتیاز دهی خبرگان'!$J26=1,'طیف فازی'!$C$2,IF('امتیاز دهی خبرگان'!$J26=2,'طیف فازی'!$C$3,IF('امتیاز دهی خبرگان'!$J26=3,'طیف فازی'!$C$4,IF('امتیاز دهی خبرگان'!$J26=4,'طیف فازی'!$C$5,'طیف فازی'!$C$6)))))</f>
        <v>0.75</v>
      </c>
      <c r="Z26" s="19">
        <f>IF('امتیاز دهی خبرگان'!$J26=0,0,IF('امتیاز دهی خبرگان'!$J26=1,'طیف فازی'!$D$2,IF('امتیاز دهی خبرگان'!$J26=2,'طیف فازی'!$D$3,IF('امتیاز دهی خبرگان'!$J26=3,'طیف فازی'!$D$4,IF('امتیاز دهی خبرگان'!$J26=4,'طیف فازی'!$D$5,'طیف فازی'!$D$6)))))</f>
        <v>1</v>
      </c>
      <c r="AA26" s="17">
        <f>IF('امتیاز دهی خبرگان'!$K26=0,0,IF('امتیاز دهی خبرگان'!$K26=1,'طیف فازی'!$B$2,IF('امتیاز دهی خبرگان'!$K26=2,'طیف فازی'!$B$3,IF('امتیاز دهی خبرگان'!$K26=3,'طیف فازی'!$B$4,IF('امتیاز دهی خبرگان'!$K26=4,'طیف فازی'!$B$5,'طیف فازی'!$B$6)))))</f>
        <v>0.5</v>
      </c>
      <c r="AB26" s="18">
        <f>IF('امتیاز دهی خبرگان'!$K26=0,0,IF('امتیاز دهی خبرگان'!$K26=1,'طیف فازی'!$C$2,IF('امتیاز دهی خبرگان'!$K26=2,'طیف فازی'!$C$3,IF('امتیاز دهی خبرگان'!$K26=3,'طیف فازی'!$C$4,IF('امتیاز دهی خبرگان'!$K26=4,'طیف فازی'!$C$5,'طیف فازی'!$C$6)))))</f>
        <v>0.75</v>
      </c>
      <c r="AC26" s="19">
        <f>IF('امتیاز دهی خبرگان'!$K26=0,0,IF('امتیاز دهی خبرگان'!$K26=1,'طیف فازی'!$D$2,IF('امتیاز دهی خبرگان'!$K26=2,'طیف فازی'!$D$3,IF('امتیاز دهی خبرگان'!$K26=3,'طیف فازی'!$D$4,IF('امتیاز دهی خبرگان'!$K26=4,'طیف فازی'!$D$5,'طیف فازی'!$D$6)))))</f>
        <v>1</v>
      </c>
      <c r="AD26" s="17">
        <f>IF('امتیاز دهی خبرگان'!$L26=0,0,IF('امتیاز دهی خبرگان'!$L26=1,'طیف فازی'!$B$2,IF('امتیاز دهی خبرگان'!$L26=2,'طیف فازی'!$B$3,IF('امتیاز دهی خبرگان'!$L26=3,'طیف فازی'!$B$4,IF('امتیاز دهی خبرگان'!$L26=4,'طیف فازی'!$B$5,'طیف فازی'!$B$6)))))</f>
        <v>0.5</v>
      </c>
      <c r="AE26" s="18">
        <f>IF('امتیاز دهی خبرگان'!$L26=0,0,IF('امتیاز دهی خبرگان'!$L26=1,'طیف فازی'!$C$2,IF('امتیاز دهی خبرگان'!$L26=2,'طیف فازی'!$C$3,IF('امتیاز دهی خبرگان'!$L26=3,'طیف فازی'!$C$4,IF('امتیاز دهی خبرگان'!$L26=4,'طیف فازی'!$C$5,'طیف فازی'!$C$6)))))</f>
        <v>0.75</v>
      </c>
      <c r="AF26" s="19">
        <f>IF('امتیاز دهی خبرگان'!$L26=0,0,IF('امتیاز دهی خبرگان'!$L26=1,'طیف فازی'!$D$2,IF('امتیاز دهی خبرگان'!$L26=2,'طیف فازی'!$D$3,IF('امتیاز دهی خبرگان'!$L26=3,'طیف فازی'!$D$4,IF('امتیاز دهی خبرگان'!$L26=4,'طیف فازی'!$D$5,'طیف فازی'!$D$6)))))</f>
        <v>1</v>
      </c>
      <c r="AG26" s="17">
        <f>IF('امتیاز دهی خبرگان'!$M26=0,0,IF('امتیاز دهی خبرگان'!$M26=1,'طیف فازی'!$B$2,IF('امتیاز دهی خبرگان'!$M26=2,'طیف فازی'!$B$3,IF('امتیاز دهی خبرگان'!$M26=3,'طیف فازی'!$B$4,IF('امتیاز دهی خبرگان'!$M26=4,'طیف فازی'!$B$5,'طیف فازی'!$B$6)))))</f>
        <v>0.5</v>
      </c>
      <c r="AH26" s="18">
        <f>IF('امتیاز دهی خبرگان'!$M26=0,0,IF('امتیاز دهی خبرگان'!$M26=1,'طیف فازی'!$C$2,IF('امتیاز دهی خبرگان'!$M26=2,'طیف فازی'!$C$3,IF('امتیاز دهی خبرگان'!$M26=3,'طیف فازی'!$C$4,IF('امتیاز دهی خبرگان'!$M26=4,'طیف فازی'!$C$5,'طیف فازی'!$C$6)))))</f>
        <v>0.75</v>
      </c>
      <c r="AI26" s="19">
        <f>IF('امتیاز دهی خبرگان'!$M26=0,0,IF('امتیاز دهی خبرگان'!$M26=1,'طیف فازی'!$D$2,IF('امتیاز دهی خبرگان'!$M26=2,'طیف فازی'!$D$3,IF('امتیاز دهی خبرگان'!$M26=3,'طیف فازی'!$D$4,IF('امتیاز دهی خبرگان'!$M26=4,'طیف فازی'!$D$5,'طیف فازی'!$D$6)))))</f>
        <v>1</v>
      </c>
      <c r="AJ26" s="17">
        <f>IF('امتیاز دهی خبرگان'!$N26=0,0,IF('امتیاز دهی خبرگان'!$N26=1,'طیف فازی'!$B$2,IF('امتیاز دهی خبرگان'!$N26=2,'طیف فازی'!$B$3,IF('امتیاز دهی خبرگان'!$N26=3,'طیف فازی'!$B$4,IF('امتیاز دهی خبرگان'!$N26=4,'طیف فازی'!$B$5,'طیف فازی'!$B$6)))))</f>
        <v>0.5</v>
      </c>
      <c r="AK26" s="18">
        <f>IF('امتیاز دهی خبرگان'!$N26=0,0,IF('امتیاز دهی خبرگان'!$N26=1,'طیف فازی'!$C$2,IF('امتیاز دهی خبرگان'!$N26=2,'طیف فازی'!$C$3,IF('امتیاز دهی خبرگان'!$N26=3,'طیف فازی'!$C$4,IF('امتیاز دهی خبرگان'!$N26=4,'طیف فازی'!$C$5,'طیف فازی'!$C$6)))))</f>
        <v>0.75</v>
      </c>
      <c r="AL26" s="19">
        <f>IF('امتیاز دهی خبرگان'!$N26=0,0,IF('امتیاز دهی خبرگان'!$N26=1,'طیف فازی'!$D$2,IF('امتیاز دهی خبرگان'!$N26=2,'طیف فازی'!$D$3,IF('امتیاز دهی خبرگان'!$N26=3,'طیف فازی'!$D$4,IF('امتیاز دهی خبرگان'!$N26=4,'طیف فازی'!$D$5,'طیف فازی'!$D$6)))))</f>
        <v>1</v>
      </c>
      <c r="AM26" s="23">
        <f t="shared" si="1"/>
        <v>6.75</v>
      </c>
      <c r="AN26" s="23">
        <f t="shared" si="2"/>
        <v>9.75</v>
      </c>
      <c r="AO26" s="24">
        <f t="shared" si="3"/>
        <v>12</v>
      </c>
      <c r="AP26" s="25">
        <f t="shared" si="4"/>
        <v>0.5625</v>
      </c>
      <c r="AQ26" s="23">
        <f t="shared" si="5"/>
        <v>0.8125</v>
      </c>
      <c r="AR26" s="24">
        <f t="shared" si="6"/>
        <v>1</v>
      </c>
      <c r="AS26" s="24">
        <f t="shared" si="7"/>
        <v>0.79166666666666663</v>
      </c>
      <c r="AT26" s="24" t="str">
        <f t="shared" si="8"/>
        <v>Pass</v>
      </c>
    </row>
    <row r="27" spans="2:46" ht="23.25" customHeight="1" thickBot="1" x14ac:dyDescent="0.85">
      <c r="B27" s="2">
        <v>25</v>
      </c>
      <c r="C27" s="17">
        <f>IF('امتیاز دهی خبرگان'!$C27=0,0,IF('امتیاز دهی خبرگان'!$C27=1,'طیف فازی'!$B$2,IF('امتیاز دهی خبرگان'!$C27=2,'طیف فازی'!$B$3,IF('امتیاز دهی خبرگان'!$C27=3,'طیف فازی'!$B$4,IF('امتیاز دهی خبرگان'!$C27=4,'طیف فازی'!$B$5,'طیف فازی'!$B$6)))))</f>
        <v>0.75</v>
      </c>
      <c r="D27" s="18">
        <f>IF('امتیاز دهی خبرگان'!$C27=0,0,IF('امتیاز دهی خبرگان'!$C27=1,'طیف فازی'!$C$2,IF('امتیاز دهی خبرگان'!$C27=2,'طیف فازی'!$C$3,IF('امتیاز دهی خبرگان'!$C27=3,'طیف فازی'!$C$4,IF('امتیاز دهی خبرگان'!$C27=4,'طیف فازی'!$C$5,'طیف فازی'!$C$6)))))</f>
        <v>1</v>
      </c>
      <c r="E27" s="19">
        <f>IF('امتیاز دهی خبرگان'!$C27=0,0,IF('امتیاز دهی خبرگان'!$C27=1,'طیف فازی'!$D$2,IF('امتیاز دهی خبرگان'!$C27=2,'طیف فازی'!$D$3,IF('امتیاز دهی خبرگان'!$C27=3,'طیف فازی'!$D$4,IF('امتیاز دهی خبرگان'!$C27=4,'طیف فازی'!$D$5,'طیف فازی'!$D$6)))))</f>
        <v>1</v>
      </c>
      <c r="F27" s="20">
        <f>IF('امتیاز دهی خبرگان'!$D27=0,0,IF('امتیاز دهی خبرگان'!$D27=1,'طیف فازی'!$B$2,IF('امتیاز دهی خبرگان'!$D27=2,'طیف فازی'!$B$3,IF('امتیاز دهی خبرگان'!$D27=3,'طیف فازی'!$B$4,IF('امتیاز دهی خبرگان'!$D27=4,'طیف فازی'!$B$5,'طیف فازی'!$B$6)))))</f>
        <v>0.5</v>
      </c>
      <c r="G27" s="21">
        <f>IF('امتیاز دهی خبرگان'!$D27=0,0,IF('امتیاز دهی خبرگان'!$D27=1,'طیف فازی'!$D$2,IF('امتیاز دهی خبرگان'!$D27=2,'طیف فازی'!$C$3,IF('امتیاز دهی خبرگان'!$D27=3,'طیف فازی'!$C$4,IF('امتیاز دهی خبرگان'!$D27=4,'طیف فازی'!$C$5,'طیف فازی'!$C$6)))))</f>
        <v>0.75</v>
      </c>
      <c r="H27" s="22">
        <f>IF('امتیاز دهی خبرگان'!$D27=0,0,IF('امتیاز دهی خبرگان'!$D27=1,'طیف فازی'!$D$2,IF('امتیاز دهی خبرگان'!$D27=2,'طیف فازی'!$D$3,IF('امتیاز دهی خبرگان'!$D27=3,'طیف فازی'!$D$4,IF('امتیاز دهی خبرگان'!$D27=4,'طیف فازی'!$D$5,'طیف فازی'!$D$6)))))</f>
        <v>1</v>
      </c>
      <c r="I27" s="17">
        <f>IF('امتیاز دهی خبرگان'!$E27=0,0,IF('امتیاز دهی خبرگان'!$E27=1,'طیف فازی'!$B$2,IF('امتیاز دهی خبرگان'!$E27=2,'طیف فازی'!$B$3,IF('امتیاز دهی خبرگان'!$E27=3,'طیف فازی'!$B$4,IF('امتیاز دهی خبرگان'!$E27=4,'طیف فازی'!$B$5,'طیف فازی'!$B$6)))))</f>
        <v>0</v>
      </c>
      <c r="J27" s="18">
        <f>IF('امتیاز دهی خبرگان'!$E27=0,0,IF('امتیاز دهی خبرگان'!$E27=1,'طیف فازی'!$C$2,IF('امتیاز دهی خبرگان'!$E27=2,'طیف فازی'!$C$3,IF('امتیاز دهی خبرگان'!$E27=3,'طیف فازی'!$C$4,IF('امتیاز دهی خبرگان'!$E27=4,'طیف فازی'!$C$5,'طیف فازی'!$C$6)))))</f>
        <v>0.25</v>
      </c>
      <c r="K27" s="19">
        <f>IF('امتیاز دهی خبرگان'!$E27=0,0,IF('امتیاز دهی خبرگان'!$E27=1,'طیف فازی'!$D$2,IF('امتیاز دهی خبرگان'!$E27=2,'طیف فازی'!$D$3,IF('امتیاز دهی خبرگان'!$E27=3,'طیف فازی'!$D$4,IF('امتیاز دهی خبرگان'!$E27=4,'طیف فازی'!$D$5,'طیف فازی'!$D$6)))))</f>
        <v>0.5</v>
      </c>
      <c r="L27" s="17">
        <f>IF('امتیاز دهی خبرگان'!$F27=0,0,IF('امتیاز دهی خبرگان'!$F27=1,'طیف فازی'!$B$2,IF('امتیاز دهی خبرگان'!$F27=2,'طیف فازی'!$B$3,IF('امتیاز دهی خبرگان'!$F27=3,'طیف فازی'!$B$4,IF('امتیاز دهی خبرگان'!$F27=4,'طیف فازی'!$B$5,'طیف فازی'!$B$6)))))</f>
        <v>0.5</v>
      </c>
      <c r="M27" s="18">
        <f>IF('امتیاز دهی خبرگان'!$F27=0,0,IF('امتیاز دهی خبرگان'!$F27=1,'طیف فازی'!$C$2,IF('امتیاز دهی خبرگان'!$F27=2,'طیف فازی'!$C$3,IF('امتیاز دهی خبرگان'!$F27=3,'طیف فازی'!$C$4,IF('امتیاز دهی خبرگان'!$F27=4,'طیف فازی'!$C$5,'طیف فازی'!$C$6)))))</f>
        <v>0.75</v>
      </c>
      <c r="N27" s="19">
        <f>IF('امتیاز دهی خبرگان'!$F27=0,0,IF('امتیاز دهی خبرگان'!$F27=1,'طیف فازی'!$D$2,IF('امتیاز دهی خبرگان'!$F27=2,'طیف فازی'!$D$3,IF('امتیاز دهی خبرگان'!$F27=3,'طیف فازی'!$D$4,IF('امتیاز دهی خبرگان'!$F27=4,'طیف فازی'!$D$5,'طیف فازی'!$D$6)))))</f>
        <v>1</v>
      </c>
      <c r="O27" s="17">
        <f>IF('امتیاز دهی خبرگان'!$G27=0,0,IF('امتیاز دهی خبرگان'!$G27=1,'طیف فازی'!$B$2,IF('امتیاز دهی خبرگان'!$G27=2,'طیف فازی'!$B$3,IF('امتیاز دهی خبرگان'!$G27=3,'طیف فازی'!$B$4,IF('امتیاز دهی خبرگان'!$G27=4,'طیف فازی'!$B$5,'طیف فازی'!$B$6)))))</f>
        <v>0.25</v>
      </c>
      <c r="P27" s="18">
        <f>IF('امتیاز دهی خبرگان'!$G27=0,0,IF('امتیاز دهی خبرگان'!$G27=1,'طیف فازی'!$C$2,IF('امتیاز دهی خبرگان'!$G27=2,'طیف فازی'!$C$3,IF('امتیاز دهی خبرگان'!$G27=3,'طیف فازی'!$C$4,IF('امتیاز دهی خبرگان'!$G27=4,'طیف فازی'!$C$5,'طیف فازی'!$C$6)))))</f>
        <v>0.5</v>
      </c>
      <c r="Q27" s="19">
        <f>IF('امتیاز دهی خبرگان'!$G27=0,0,IF('امتیاز دهی خبرگان'!$G27=1,'طیف فازی'!$D$2,IF('امتیاز دهی خبرگان'!$G27=2,'طیف فازی'!$D$3,IF('امتیاز دهی خبرگان'!$G27=3,'طیف فازی'!$D$4,IF('امتیاز دهی خبرگان'!$G27=4,'طیف فازی'!$D$5,'طیف فازی'!$D$6)))))</f>
        <v>0.75</v>
      </c>
      <c r="R27" s="17">
        <f>IF('امتیاز دهی خبرگان'!$H27=0,0,IF('امتیاز دهی خبرگان'!$H27=1,'طیف فازی'!$B$2,IF('امتیاز دهی خبرگان'!$H27=2,'طیف فازی'!$B$3,IF('امتیاز دهی خبرگان'!$H27=3,'طیف فازی'!$B$4,IF('امتیاز دهی خبرگان'!$H27=4,'طیف فازی'!$B$5,'طیف فازی'!$B$6)))))</f>
        <v>0.25</v>
      </c>
      <c r="S27" s="18">
        <f>IF('امتیاز دهی خبرگان'!$H27=0,0,IF('امتیاز دهی خبرگان'!$H27=1,'طیف فازی'!$C$2,IF('امتیاز دهی خبرگان'!$H27=2,'طیف فازی'!$C$3,IF('امتیاز دهی خبرگان'!$H27=3,'طیف فازی'!$C$4,IF('امتیاز دهی خبرگان'!$H27=4,'طیف فازی'!$C$5,'طیف فازی'!$C$6)))))</f>
        <v>0.5</v>
      </c>
      <c r="T27" s="19">
        <f>IF('امتیاز دهی خبرگان'!$H27=0,0,IF('امتیاز دهی خبرگان'!$H27=1,'طیف فازی'!$D$2,IF('امتیاز دهی خبرگان'!$H27=2,'طیف فازی'!$D$3,IF('امتیاز دهی خبرگان'!$H27=3,'طیف فازی'!$D$4,IF('امتیاز دهی خبرگان'!$H27=4,'طیف فازی'!$D$5,'طیف فازی'!$D$6)))))</f>
        <v>0.75</v>
      </c>
      <c r="U27" s="17">
        <f>IF('امتیاز دهی خبرگان'!$I27=0,0,IF('امتیاز دهی خبرگان'!$I27=1,'طیف فازی'!$B$2,IF('امتیاز دهی خبرگان'!$I27=2,'طیف فازی'!$B$3,IF('امتیاز دهی خبرگان'!$I27=3,'طیف فازی'!$B$4,IF('امتیاز دهی خبرگان'!$I27=4,'طیف فازی'!$B$5,'طیف فازی'!$B$6)))))</f>
        <v>0.75</v>
      </c>
      <c r="V27" s="18">
        <f>IF('امتیاز دهی خبرگان'!$I27=0,0,IF('امتیاز دهی خبرگان'!$I27=1,'طیف فازی'!$C$2,IF('امتیاز دهی خبرگان'!$I27=2,'طیف فازی'!$C$3,IF('امتیاز دهی خبرگان'!$I27=3,'طیف فازی'!$C$4,IF('امتیاز دهی خبرگان'!$I27=4,'طیف فازی'!$C$5,'طیف فازی'!$C$6)))))</f>
        <v>1</v>
      </c>
      <c r="W27" s="19">
        <f>IF('امتیاز دهی خبرگان'!$I27=0,0,IF('امتیاز دهی خبرگان'!$I27=1,'طیف فازی'!$D$2,IF('امتیاز دهی خبرگان'!$I27=2,'طیف فازی'!$D$3,IF('امتیاز دهی خبرگان'!$I27=3,'طیف فازی'!$D$4,IF('امتیاز دهی خبرگان'!$I27=4,'طیف فازی'!$D$5,'طیف فازی'!$D$6)))))</f>
        <v>1</v>
      </c>
      <c r="X27" s="17">
        <f>IF('امتیاز دهی خبرگان'!$J27=0,0,IF('امتیاز دهی خبرگان'!$J27=1,'طیف فازی'!$B$2,IF('امتیاز دهی خبرگان'!$J27=2,'طیف فازی'!$B$3,IF('امتیاز دهی خبرگان'!$J27=3,'طیف فازی'!$B$4,IF('امتیاز دهی خبرگان'!$J27=4,'طیف فازی'!$B$5,'طیف فازی'!$B$6)))))</f>
        <v>0.5</v>
      </c>
      <c r="Y27" s="18">
        <f>IF('امتیاز دهی خبرگان'!$J27=0,0,IF('امتیاز دهی خبرگان'!$J27=1,'طیف فازی'!$C$2,IF('امتیاز دهی خبرگان'!$J27=2,'طیف فازی'!$C$3,IF('امتیاز دهی خبرگان'!$J27=3,'طیف فازی'!$C$4,IF('امتیاز دهی خبرگان'!$J27=4,'طیف فازی'!$C$5,'طیف فازی'!$C$6)))))</f>
        <v>0.75</v>
      </c>
      <c r="Z27" s="19">
        <f>IF('امتیاز دهی خبرگان'!$J27=0,0,IF('امتیاز دهی خبرگان'!$J27=1,'طیف فازی'!$D$2,IF('امتیاز دهی خبرگان'!$J27=2,'طیف فازی'!$D$3,IF('امتیاز دهی خبرگان'!$J27=3,'طیف فازی'!$D$4,IF('امتیاز دهی خبرگان'!$J27=4,'طیف فازی'!$D$5,'طیف فازی'!$D$6)))))</f>
        <v>1</v>
      </c>
      <c r="AA27" s="17">
        <f>IF('امتیاز دهی خبرگان'!$K27=0,0,IF('امتیاز دهی خبرگان'!$K27=1,'طیف فازی'!$B$2,IF('امتیاز دهی خبرگان'!$K27=2,'طیف فازی'!$B$3,IF('امتیاز دهی خبرگان'!$K27=3,'طیف فازی'!$B$4,IF('امتیاز دهی خبرگان'!$K27=4,'طیف فازی'!$B$5,'طیف فازی'!$B$6)))))</f>
        <v>0.5</v>
      </c>
      <c r="AB27" s="18">
        <f>IF('امتیاز دهی خبرگان'!$K27=0,0,IF('امتیاز دهی خبرگان'!$K27=1,'طیف فازی'!$C$2,IF('امتیاز دهی خبرگان'!$K27=2,'طیف فازی'!$C$3,IF('امتیاز دهی خبرگان'!$K27=3,'طیف فازی'!$C$4,IF('امتیاز دهی خبرگان'!$K27=4,'طیف فازی'!$C$5,'طیف فازی'!$C$6)))))</f>
        <v>0.75</v>
      </c>
      <c r="AC27" s="19">
        <f>IF('امتیاز دهی خبرگان'!$K27=0,0,IF('امتیاز دهی خبرگان'!$K27=1,'طیف فازی'!$D$2,IF('امتیاز دهی خبرگان'!$K27=2,'طیف فازی'!$D$3,IF('امتیاز دهی خبرگان'!$K27=3,'طیف فازی'!$D$4,IF('امتیاز دهی خبرگان'!$K27=4,'طیف فازی'!$D$5,'طیف فازی'!$D$6)))))</f>
        <v>1</v>
      </c>
      <c r="AD27" s="17">
        <f>IF('امتیاز دهی خبرگان'!$L27=0,0,IF('امتیاز دهی خبرگان'!$L27=1,'طیف فازی'!$B$2,IF('امتیاز دهی خبرگان'!$L27=2,'طیف فازی'!$B$3,IF('امتیاز دهی خبرگان'!$L27=3,'طیف فازی'!$B$4,IF('امتیاز دهی خبرگان'!$L27=4,'طیف فازی'!$B$5,'طیف فازی'!$B$6)))))</f>
        <v>0.5</v>
      </c>
      <c r="AE27" s="18">
        <f>IF('امتیاز دهی خبرگان'!$L27=0,0,IF('امتیاز دهی خبرگان'!$L27=1,'طیف فازی'!$C$2,IF('امتیاز دهی خبرگان'!$L27=2,'طیف فازی'!$C$3,IF('امتیاز دهی خبرگان'!$L27=3,'طیف فازی'!$C$4,IF('امتیاز دهی خبرگان'!$L27=4,'طیف فازی'!$C$5,'طیف فازی'!$C$6)))))</f>
        <v>0.75</v>
      </c>
      <c r="AF27" s="19">
        <f>IF('امتیاز دهی خبرگان'!$L27=0,0,IF('امتیاز دهی خبرگان'!$L27=1,'طیف فازی'!$D$2,IF('امتیاز دهی خبرگان'!$L27=2,'طیف فازی'!$D$3,IF('امتیاز دهی خبرگان'!$L27=3,'طیف فازی'!$D$4,IF('امتیاز دهی خبرگان'!$L27=4,'طیف فازی'!$D$5,'طیف فازی'!$D$6)))))</f>
        <v>1</v>
      </c>
      <c r="AG27" s="17">
        <f>IF('امتیاز دهی خبرگان'!$M27=0,0,IF('امتیاز دهی خبرگان'!$M27=1,'طیف فازی'!$B$2,IF('امتیاز دهی خبرگان'!$M27=2,'طیف فازی'!$B$3,IF('امتیاز دهی خبرگان'!$M27=3,'طیف فازی'!$B$4,IF('امتیاز دهی خبرگان'!$M27=4,'طیف فازی'!$B$5,'طیف فازی'!$B$6)))))</f>
        <v>0.75</v>
      </c>
      <c r="AH27" s="18">
        <f>IF('امتیاز دهی خبرگان'!$M27=0,0,IF('امتیاز دهی خبرگان'!$M27=1,'طیف فازی'!$C$2,IF('امتیاز دهی خبرگان'!$M27=2,'طیف فازی'!$C$3,IF('امتیاز دهی خبرگان'!$M27=3,'طیف فازی'!$C$4,IF('امتیاز دهی خبرگان'!$M27=4,'طیف فازی'!$C$5,'طیف فازی'!$C$6)))))</f>
        <v>1</v>
      </c>
      <c r="AI27" s="19">
        <f>IF('امتیاز دهی خبرگان'!$M27=0,0,IF('امتیاز دهی خبرگان'!$M27=1,'طیف فازی'!$D$2,IF('امتیاز دهی خبرگان'!$M27=2,'طیف فازی'!$D$3,IF('امتیاز دهی خبرگان'!$M27=3,'طیف فازی'!$D$4,IF('امتیاز دهی خبرگان'!$M27=4,'طیف فازی'!$D$5,'طیف فازی'!$D$6)))))</f>
        <v>1</v>
      </c>
      <c r="AJ27" s="17">
        <f>IF('امتیاز دهی خبرگان'!$N27=0,0,IF('امتیاز دهی خبرگان'!$N27=1,'طیف فازی'!$B$2,IF('امتیاز دهی خبرگان'!$N27=2,'طیف فازی'!$B$3,IF('امتیاز دهی خبرگان'!$N27=3,'طیف فازی'!$B$4,IF('امتیاز دهی خبرگان'!$N27=4,'طیف فازی'!$B$5,'طیف فازی'!$B$6)))))</f>
        <v>0.75</v>
      </c>
      <c r="AK27" s="18">
        <f>IF('امتیاز دهی خبرگان'!$N27=0,0,IF('امتیاز دهی خبرگان'!$N27=1,'طیف فازی'!$C$2,IF('امتیاز دهی خبرگان'!$N27=2,'طیف فازی'!$C$3,IF('امتیاز دهی خبرگان'!$N27=3,'طیف فازی'!$C$4,IF('امتیاز دهی خبرگان'!$N27=4,'طیف فازی'!$C$5,'طیف فازی'!$C$6)))))</f>
        <v>1</v>
      </c>
      <c r="AL27" s="19">
        <f>IF('امتیاز دهی خبرگان'!$N27=0,0,IF('امتیاز دهی خبرگان'!$N27=1,'طیف فازی'!$D$2,IF('امتیاز دهی خبرگان'!$N27=2,'طیف فازی'!$D$3,IF('امتیاز دهی خبرگان'!$N27=3,'طیف فازی'!$D$4,IF('امتیاز دهی خبرگان'!$N27=4,'طیف فازی'!$D$5,'طیف فازی'!$D$6)))))</f>
        <v>1</v>
      </c>
      <c r="AM27" s="23">
        <f t="shared" si="1"/>
        <v>6</v>
      </c>
      <c r="AN27" s="23">
        <f t="shared" si="2"/>
        <v>9</v>
      </c>
      <c r="AO27" s="24">
        <f t="shared" si="3"/>
        <v>11</v>
      </c>
      <c r="AP27" s="25">
        <f t="shared" si="4"/>
        <v>0.5</v>
      </c>
      <c r="AQ27" s="23">
        <f t="shared" si="5"/>
        <v>0.75</v>
      </c>
      <c r="AR27" s="24">
        <f t="shared" si="6"/>
        <v>0.91666666666666663</v>
      </c>
      <c r="AS27" s="24">
        <f t="shared" si="7"/>
        <v>0.72222222222222221</v>
      </c>
      <c r="AT27" s="24" t="str">
        <f t="shared" si="8"/>
        <v>Pass</v>
      </c>
    </row>
    <row r="28" spans="2:46" ht="23.25" customHeight="1" thickBot="1" x14ac:dyDescent="0.85">
      <c r="B28" s="2">
        <v>26</v>
      </c>
      <c r="C28" s="17">
        <f>IF('امتیاز دهی خبرگان'!$C28=0,0,IF('امتیاز دهی خبرگان'!$C28=1,'طیف فازی'!$B$2,IF('امتیاز دهی خبرگان'!$C28=2,'طیف فازی'!$B$3,IF('امتیاز دهی خبرگان'!$C28=3,'طیف فازی'!$B$4,IF('امتیاز دهی خبرگان'!$C28=4,'طیف فازی'!$B$5,'طیف فازی'!$B$6)))))</f>
        <v>0.75</v>
      </c>
      <c r="D28" s="18">
        <f>IF('امتیاز دهی خبرگان'!$C28=0,0,IF('امتیاز دهی خبرگان'!$C28=1,'طیف فازی'!$C$2,IF('امتیاز دهی خبرگان'!$C28=2,'طیف فازی'!$C$3,IF('امتیاز دهی خبرگان'!$C28=3,'طیف فازی'!$C$4,IF('امتیاز دهی خبرگان'!$C28=4,'طیف فازی'!$C$5,'طیف فازی'!$C$6)))))</f>
        <v>1</v>
      </c>
      <c r="E28" s="19">
        <f>IF('امتیاز دهی خبرگان'!$C28=0,0,IF('امتیاز دهی خبرگان'!$C28=1,'طیف فازی'!$D$2,IF('امتیاز دهی خبرگان'!$C28=2,'طیف فازی'!$D$3,IF('امتیاز دهی خبرگان'!$C28=3,'طیف فازی'!$D$4,IF('امتیاز دهی خبرگان'!$C28=4,'طیف فازی'!$D$5,'طیف فازی'!$D$6)))))</f>
        <v>1</v>
      </c>
      <c r="F28" s="20">
        <f>IF('امتیاز دهی خبرگان'!$D28=0,0,IF('امتیاز دهی خبرگان'!$D28=1,'طیف فازی'!$B$2,IF('امتیاز دهی خبرگان'!$D28=2,'طیف فازی'!$B$3,IF('امتیاز دهی خبرگان'!$D28=3,'طیف فازی'!$B$4,IF('امتیاز دهی خبرگان'!$D28=4,'طیف فازی'!$B$5,'طیف فازی'!$B$6)))))</f>
        <v>0</v>
      </c>
      <c r="G28" s="21">
        <f>IF('امتیاز دهی خبرگان'!$D28=0,0,IF('امتیاز دهی خبرگان'!$D28=1,'طیف فازی'!$D$2,IF('امتیاز دهی خبرگان'!$D28=2,'طیف فازی'!$C$3,IF('امتیاز دهی خبرگان'!$D28=3,'طیف فازی'!$C$4,IF('امتیاز دهی خبرگان'!$D28=4,'طیف فازی'!$C$5,'طیف فازی'!$C$6)))))</f>
        <v>0.25</v>
      </c>
      <c r="H28" s="22">
        <f>IF('امتیاز دهی خبرگان'!$D28=0,0,IF('امتیاز دهی خبرگان'!$D28=1,'طیف فازی'!$D$2,IF('امتیاز دهی خبرگان'!$D28=2,'طیف فازی'!$D$3,IF('امتیاز دهی خبرگان'!$D28=3,'طیف فازی'!$D$4,IF('امتیاز دهی خبرگان'!$D28=4,'طیف فازی'!$D$5,'طیف فازی'!$D$6)))))</f>
        <v>0.5</v>
      </c>
      <c r="I28" s="17">
        <f>IF('امتیاز دهی خبرگان'!$E28=0,0,IF('امتیاز دهی خبرگان'!$E28=1,'طیف فازی'!$B$2,IF('امتیاز دهی خبرگان'!$E28=2,'طیف فازی'!$B$3,IF('امتیاز دهی خبرگان'!$E28=3,'طیف فازی'!$B$4,IF('امتیاز دهی خبرگان'!$E28=4,'طیف فازی'!$B$5,'طیف فازی'!$B$6)))))</f>
        <v>0</v>
      </c>
      <c r="J28" s="18">
        <f>IF('امتیاز دهی خبرگان'!$E28=0,0,IF('امتیاز دهی خبرگان'!$E28=1,'طیف فازی'!$C$2,IF('امتیاز دهی خبرگان'!$E28=2,'طیف فازی'!$C$3,IF('امتیاز دهی خبرگان'!$E28=3,'طیف فازی'!$C$4,IF('امتیاز دهی خبرگان'!$E28=4,'طیف فازی'!$C$5,'طیف فازی'!$C$6)))))</f>
        <v>0</v>
      </c>
      <c r="K28" s="19">
        <f>IF('امتیاز دهی خبرگان'!$E28=0,0,IF('امتیاز دهی خبرگان'!$E28=1,'طیف فازی'!$D$2,IF('امتیاز دهی خبرگان'!$E28=2,'طیف فازی'!$D$3,IF('امتیاز دهی خبرگان'!$E28=3,'طیف فازی'!$D$4,IF('امتیاز دهی خبرگان'!$E28=4,'طیف فازی'!$D$5,'طیف فازی'!$D$6)))))</f>
        <v>0.25</v>
      </c>
      <c r="L28" s="17">
        <f>IF('امتیاز دهی خبرگان'!$F28=0,0,IF('امتیاز دهی خبرگان'!$F28=1,'طیف فازی'!$B$2,IF('امتیاز دهی خبرگان'!$F28=2,'طیف فازی'!$B$3,IF('امتیاز دهی خبرگان'!$F28=3,'طیف فازی'!$B$4,IF('امتیاز دهی خبرگان'!$F28=4,'طیف فازی'!$B$5,'طیف فازی'!$B$6)))))</f>
        <v>0.5</v>
      </c>
      <c r="M28" s="18">
        <f>IF('امتیاز دهی خبرگان'!$F28=0,0,IF('امتیاز دهی خبرگان'!$F28=1,'طیف فازی'!$C$2,IF('امتیاز دهی خبرگان'!$F28=2,'طیف فازی'!$C$3,IF('امتیاز دهی خبرگان'!$F28=3,'طیف فازی'!$C$4,IF('امتیاز دهی خبرگان'!$F28=4,'طیف فازی'!$C$5,'طیف فازی'!$C$6)))))</f>
        <v>0.75</v>
      </c>
      <c r="N28" s="19">
        <f>IF('امتیاز دهی خبرگان'!$F28=0,0,IF('امتیاز دهی خبرگان'!$F28=1,'طیف فازی'!$D$2,IF('امتیاز دهی خبرگان'!$F28=2,'طیف فازی'!$D$3,IF('امتیاز دهی خبرگان'!$F28=3,'طیف فازی'!$D$4,IF('امتیاز دهی خبرگان'!$F28=4,'طیف فازی'!$D$5,'طیف فازی'!$D$6)))))</f>
        <v>1</v>
      </c>
      <c r="O28" s="17">
        <f>IF('امتیاز دهی خبرگان'!$G28=0,0,IF('امتیاز دهی خبرگان'!$G28=1,'طیف فازی'!$B$2,IF('امتیاز دهی خبرگان'!$G28=2,'طیف فازی'!$B$3,IF('امتیاز دهی خبرگان'!$G28=3,'طیف فازی'!$B$4,IF('امتیاز دهی خبرگان'!$G28=4,'طیف فازی'!$B$5,'طیف فازی'!$B$6)))))</f>
        <v>0.25</v>
      </c>
      <c r="P28" s="18">
        <f>IF('امتیاز دهی خبرگان'!$G28=0,0,IF('امتیاز دهی خبرگان'!$G28=1,'طیف فازی'!$C$2,IF('امتیاز دهی خبرگان'!$G28=2,'طیف فازی'!$C$3,IF('امتیاز دهی خبرگان'!$G28=3,'طیف فازی'!$C$4,IF('امتیاز دهی خبرگان'!$G28=4,'طیف فازی'!$C$5,'طیف فازی'!$C$6)))))</f>
        <v>0.5</v>
      </c>
      <c r="Q28" s="19">
        <f>IF('امتیاز دهی خبرگان'!$G28=0,0,IF('امتیاز دهی خبرگان'!$G28=1,'طیف فازی'!$D$2,IF('امتیاز دهی خبرگان'!$G28=2,'طیف فازی'!$D$3,IF('امتیاز دهی خبرگان'!$G28=3,'طیف فازی'!$D$4,IF('امتیاز دهی خبرگان'!$G28=4,'طیف فازی'!$D$5,'طیف فازی'!$D$6)))))</f>
        <v>0.75</v>
      </c>
      <c r="R28" s="17">
        <f>IF('امتیاز دهی خبرگان'!$H28=0,0,IF('امتیاز دهی خبرگان'!$H28=1,'طیف فازی'!$B$2,IF('امتیاز دهی خبرگان'!$H28=2,'طیف فازی'!$B$3,IF('امتیاز دهی خبرگان'!$H28=3,'طیف فازی'!$B$4,IF('امتیاز دهی خبرگان'!$H28=4,'طیف فازی'!$B$5,'طیف فازی'!$B$6)))))</f>
        <v>0.5</v>
      </c>
      <c r="S28" s="18">
        <f>IF('امتیاز دهی خبرگان'!$H28=0,0,IF('امتیاز دهی خبرگان'!$H28=1,'طیف فازی'!$C$2,IF('امتیاز دهی خبرگان'!$H28=2,'طیف فازی'!$C$3,IF('امتیاز دهی خبرگان'!$H28=3,'طیف فازی'!$C$4,IF('امتیاز دهی خبرگان'!$H28=4,'طیف فازی'!$C$5,'طیف فازی'!$C$6)))))</f>
        <v>0.75</v>
      </c>
      <c r="T28" s="19">
        <f>IF('امتیاز دهی خبرگان'!$H28=0,0,IF('امتیاز دهی خبرگان'!$H28=1,'طیف فازی'!$D$2,IF('امتیاز دهی خبرگان'!$H28=2,'طیف فازی'!$D$3,IF('امتیاز دهی خبرگان'!$H28=3,'طیف فازی'!$D$4,IF('امتیاز دهی خبرگان'!$H28=4,'طیف فازی'!$D$5,'طیف فازی'!$D$6)))))</f>
        <v>1</v>
      </c>
      <c r="U28" s="17">
        <f>IF('امتیاز دهی خبرگان'!$I28=0,0,IF('امتیاز دهی خبرگان'!$I28=1,'طیف فازی'!$B$2,IF('امتیاز دهی خبرگان'!$I28=2,'طیف فازی'!$B$3,IF('امتیاز دهی خبرگان'!$I28=3,'طیف فازی'!$B$4,IF('امتیاز دهی خبرگان'!$I28=4,'طیف فازی'!$B$5,'طیف فازی'!$B$6)))))</f>
        <v>0.5</v>
      </c>
      <c r="V28" s="18">
        <f>IF('امتیاز دهی خبرگان'!$I28=0,0,IF('امتیاز دهی خبرگان'!$I28=1,'طیف فازی'!$C$2,IF('امتیاز دهی خبرگان'!$I28=2,'طیف فازی'!$C$3,IF('امتیاز دهی خبرگان'!$I28=3,'طیف فازی'!$C$4,IF('امتیاز دهی خبرگان'!$I28=4,'طیف فازی'!$C$5,'طیف فازی'!$C$6)))))</f>
        <v>0.75</v>
      </c>
      <c r="W28" s="19">
        <f>IF('امتیاز دهی خبرگان'!$I28=0,0,IF('امتیاز دهی خبرگان'!$I28=1,'طیف فازی'!$D$2,IF('امتیاز دهی خبرگان'!$I28=2,'طیف فازی'!$D$3,IF('امتیاز دهی خبرگان'!$I28=3,'طیف فازی'!$D$4,IF('امتیاز دهی خبرگان'!$I28=4,'طیف فازی'!$D$5,'طیف فازی'!$D$6)))))</f>
        <v>1</v>
      </c>
      <c r="X28" s="17">
        <f>IF('امتیاز دهی خبرگان'!$J28=0,0,IF('امتیاز دهی خبرگان'!$J28=1,'طیف فازی'!$B$2,IF('امتیاز دهی خبرگان'!$J28=2,'طیف فازی'!$B$3,IF('امتیاز دهی خبرگان'!$J28=3,'طیف فازی'!$B$4,IF('امتیاز دهی خبرگان'!$J28=4,'طیف فازی'!$B$5,'طیف فازی'!$B$6)))))</f>
        <v>0.5</v>
      </c>
      <c r="Y28" s="18">
        <f>IF('امتیاز دهی خبرگان'!$J28=0,0,IF('امتیاز دهی خبرگان'!$J28=1,'طیف فازی'!$C$2,IF('امتیاز دهی خبرگان'!$J28=2,'طیف فازی'!$C$3,IF('امتیاز دهی خبرگان'!$J28=3,'طیف فازی'!$C$4,IF('امتیاز دهی خبرگان'!$J28=4,'طیف فازی'!$C$5,'طیف فازی'!$C$6)))))</f>
        <v>0.75</v>
      </c>
      <c r="Z28" s="19">
        <f>IF('امتیاز دهی خبرگان'!$J28=0,0,IF('امتیاز دهی خبرگان'!$J28=1,'طیف فازی'!$D$2,IF('امتیاز دهی خبرگان'!$J28=2,'طیف فازی'!$D$3,IF('امتیاز دهی خبرگان'!$J28=3,'طیف فازی'!$D$4,IF('امتیاز دهی خبرگان'!$J28=4,'طیف فازی'!$D$5,'طیف فازی'!$D$6)))))</f>
        <v>1</v>
      </c>
      <c r="AA28" s="17">
        <f>IF('امتیاز دهی خبرگان'!$K28=0,0,IF('امتیاز دهی خبرگان'!$K28=1,'طیف فازی'!$B$2,IF('امتیاز دهی خبرگان'!$K28=2,'طیف فازی'!$B$3,IF('امتیاز دهی خبرگان'!$K28=3,'طیف فازی'!$B$4,IF('امتیاز دهی خبرگان'!$K28=4,'طیف فازی'!$B$5,'طیف فازی'!$B$6)))))</f>
        <v>0.25</v>
      </c>
      <c r="AB28" s="18">
        <f>IF('امتیاز دهی خبرگان'!$K28=0,0,IF('امتیاز دهی خبرگان'!$K28=1,'طیف فازی'!$C$2,IF('امتیاز دهی خبرگان'!$K28=2,'طیف فازی'!$C$3,IF('امتیاز دهی خبرگان'!$K28=3,'طیف فازی'!$C$4,IF('امتیاز دهی خبرگان'!$K28=4,'طیف فازی'!$C$5,'طیف فازی'!$C$6)))))</f>
        <v>0.5</v>
      </c>
      <c r="AC28" s="19">
        <f>IF('امتیاز دهی خبرگان'!$K28=0,0,IF('امتیاز دهی خبرگان'!$K28=1,'طیف فازی'!$D$2,IF('امتیاز دهی خبرگان'!$K28=2,'طیف فازی'!$D$3,IF('امتیاز دهی خبرگان'!$K28=3,'طیف فازی'!$D$4,IF('امتیاز دهی خبرگان'!$K28=4,'طیف فازی'!$D$5,'طیف فازی'!$D$6)))))</f>
        <v>0.75</v>
      </c>
      <c r="AD28" s="17">
        <f>IF('امتیاز دهی خبرگان'!$L28=0,0,IF('امتیاز دهی خبرگان'!$L28=1,'طیف فازی'!$B$2,IF('امتیاز دهی خبرگان'!$L28=2,'طیف فازی'!$B$3,IF('امتیاز دهی خبرگان'!$L28=3,'طیف فازی'!$B$4,IF('امتیاز دهی خبرگان'!$L28=4,'طیف فازی'!$B$5,'طیف فازی'!$B$6)))))</f>
        <v>0.25</v>
      </c>
      <c r="AE28" s="18">
        <f>IF('امتیاز دهی خبرگان'!$L28=0,0,IF('امتیاز دهی خبرگان'!$L28=1,'طیف فازی'!$C$2,IF('امتیاز دهی خبرگان'!$L28=2,'طیف فازی'!$C$3,IF('امتیاز دهی خبرگان'!$L28=3,'طیف فازی'!$C$4,IF('امتیاز دهی خبرگان'!$L28=4,'طیف فازی'!$C$5,'طیف فازی'!$C$6)))))</f>
        <v>0.5</v>
      </c>
      <c r="AF28" s="19">
        <f>IF('امتیاز دهی خبرگان'!$L28=0,0,IF('امتیاز دهی خبرگان'!$L28=1,'طیف فازی'!$D$2,IF('امتیاز دهی خبرگان'!$L28=2,'طیف فازی'!$D$3,IF('امتیاز دهی خبرگان'!$L28=3,'طیف فازی'!$D$4,IF('امتیاز دهی خبرگان'!$L28=4,'طیف فازی'!$D$5,'طیف فازی'!$D$6)))))</f>
        <v>0.75</v>
      </c>
      <c r="AG28" s="17">
        <f>IF('امتیاز دهی خبرگان'!$M28=0,0,IF('امتیاز دهی خبرگان'!$M28=1,'طیف فازی'!$B$2,IF('امتیاز دهی خبرگان'!$M28=2,'طیف فازی'!$B$3,IF('امتیاز دهی خبرگان'!$M28=3,'طیف فازی'!$B$4,IF('امتیاز دهی خبرگان'!$M28=4,'طیف فازی'!$B$5,'طیف فازی'!$B$6)))))</f>
        <v>0.5</v>
      </c>
      <c r="AH28" s="18">
        <f>IF('امتیاز دهی خبرگان'!$M28=0,0,IF('امتیاز دهی خبرگان'!$M28=1,'طیف فازی'!$C$2,IF('امتیاز دهی خبرگان'!$M28=2,'طیف فازی'!$C$3,IF('امتیاز دهی خبرگان'!$M28=3,'طیف فازی'!$C$4,IF('امتیاز دهی خبرگان'!$M28=4,'طیف فازی'!$C$5,'طیف فازی'!$C$6)))))</f>
        <v>0.75</v>
      </c>
      <c r="AI28" s="19">
        <f>IF('امتیاز دهی خبرگان'!$M28=0,0,IF('امتیاز دهی خبرگان'!$M28=1,'طیف فازی'!$D$2,IF('امتیاز دهی خبرگان'!$M28=2,'طیف فازی'!$D$3,IF('امتیاز دهی خبرگان'!$M28=3,'طیف فازی'!$D$4,IF('امتیاز دهی خبرگان'!$M28=4,'طیف فازی'!$D$5,'طیف فازی'!$D$6)))))</f>
        <v>1</v>
      </c>
      <c r="AJ28" s="17">
        <f>IF('امتیاز دهی خبرگان'!$N28=0,0,IF('امتیاز دهی خبرگان'!$N28=1,'طیف فازی'!$B$2,IF('امتیاز دهی خبرگان'!$N28=2,'طیف فازی'!$B$3,IF('امتیاز دهی خبرگان'!$N28=3,'طیف فازی'!$B$4,IF('امتیاز دهی خبرگان'!$N28=4,'طیف فازی'!$B$5,'طیف فازی'!$B$6)))))</f>
        <v>0.5</v>
      </c>
      <c r="AK28" s="18">
        <f>IF('امتیاز دهی خبرگان'!$N28=0,0,IF('امتیاز دهی خبرگان'!$N28=1,'طیف فازی'!$C$2,IF('امتیاز دهی خبرگان'!$N28=2,'طیف فازی'!$C$3,IF('امتیاز دهی خبرگان'!$N28=3,'طیف فازی'!$C$4,IF('امتیاز دهی خبرگان'!$N28=4,'طیف فازی'!$C$5,'طیف فازی'!$C$6)))))</f>
        <v>0.75</v>
      </c>
      <c r="AL28" s="19">
        <f>IF('امتیاز دهی خبرگان'!$N28=0,0,IF('امتیاز دهی خبرگان'!$N28=1,'طیف فازی'!$D$2,IF('امتیاز دهی خبرگان'!$N28=2,'طیف فازی'!$D$3,IF('امتیاز دهی خبرگان'!$N28=3,'طیف فازی'!$D$4,IF('امتیاز دهی خبرگان'!$N28=4,'طیف فازی'!$D$5,'طیف فازی'!$D$6)))))</f>
        <v>1</v>
      </c>
      <c r="AM28" s="23">
        <f t="shared" si="1"/>
        <v>4.5</v>
      </c>
      <c r="AN28" s="23">
        <f t="shared" si="2"/>
        <v>7.25</v>
      </c>
      <c r="AO28" s="24">
        <f t="shared" si="3"/>
        <v>10</v>
      </c>
      <c r="AP28" s="25">
        <f t="shared" si="4"/>
        <v>0.375</v>
      </c>
      <c r="AQ28" s="23">
        <f t="shared" si="5"/>
        <v>0.60416666666666663</v>
      </c>
      <c r="AR28" s="24">
        <f t="shared" si="6"/>
        <v>0.83333333333333337</v>
      </c>
      <c r="AS28" s="24">
        <f t="shared" si="7"/>
        <v>0.60416666666666663</v>
      </c>
      <c r="AT28" s="24" t="str">
        <f t="shared" si="8"/>
        <v>Not Pass</v>
      </c>
    </row>
    <row r="29" spans="2:46" ht="23.25" customHeight="1" thickBot="1" x14ac:dyDescent="0.85">
      <c r="B29" s="2">
        <v>27</v>
      </c>
      <c r="C29" s="17">
        <f>IF('امتیاز دهی خبرگان'!$C29=0,0,IF('امتیاز دهی خبرگان'!$C29=1,'طیف فازی'!$B$2,IF('امتیاز دهی خبرگان'!$C29=2,'طیف فازی'!$B$3,IF('امتیاز دهی خبرگان'!$C29=3,'طیف فازی'!$B$4,IF('امتیاز دهی خبرگان'!$C29=4,'طیف فازی'!$B$5,'طیف فازی'!$B$6)))))</f>
        <v>0.75</v>
      </c>
      <c r="D29" s="18">
        <f>IF('امتیاز دهی خبرگان'!$C29=0,0,IF('امتیاز دهی خبرگان'!$C29=1,'طیف فازی'!$C$2,IF('امتیاز دهی خبرگان'!$C29=2,'طیف فازی'!$C$3,IF('امتیاز دهی خبرگان'!$C29=3,'طیف فازی'!$C$4,IF('امتیاز دهی خبرگان'!$C29=4,'طیف فازی'!$C$5,'طیف فازی'!$C$6)))))</f>
        <v>1</v>
      </c>
      <c r="E29" s="19">
        <f>IF('امتیاز دهی خبرگان'!$C29=0,0,IF('امتیاز دهی خبرگان'!$C29=1,'طیف فازی'!$D$2,IF('امتیاز دهی خبرگان'!$C29=2,'طیف فازی'!$D$3,IF('امتیاز دهی خبرگان'!$C29=3,'طیف فازی'!$D$4,IF('امتیاز دهی خبرگان'!$C29=4,'طیف فازی'!$D$5,'طیف فازی'!$D$6)))))</f>
        <v>1</v>
      </c>
      <c r="F29" s="20">
        <f>IF('امتیاز دهی خبرگان'!$D29=0,0,IF('امتیاز دهی خبرگان'!$D29=1,'طیف فازی'!$B$2,IF('امتیاز دهی خبرگان'!$D29=2,'طیف فازی'!$B$3,IF('امتیاز دهی خبرگان'!$D29=3,'طیف فازی'!$B$4,IF('امتیاز دهی خبرگان'!$D29=4,'طیف فازی'!$B$5,'طیف فازی'!$B$6)))))</f>
        <v>0.5</v>
      </c>
      <c r="G29" s="21">
        <f>IF('امتیاز دهی خبرگان'!$D29=0,0,IF('امتیاز دهی خبرگان'!$D29=1,'طیف فازی'!$D$2,IF('امتیاز دهی خبرگان'!$D29=2,'طیف فازی'!$C$3,IF('امتیاز دهی خبرگان'!$D29=3,'طیف فازی'!$C$4,IF('امتیاز دهی خبرگان'!$D29=4,'طیف فازی'!$C$5,'طیف فازی'!$C$6)))))</f>
        <v>0.75</v>
      </c>
      <c r="H29" s="22">
        <f>IF('امتیاز دهی خبرگان'!$D29=0,0,IF('امتیاز دهی خبرگان'!$D29=1,'طیف فازی'!$D$2,IF('امتیاز دهی خبرگان'!$D29=2,'طیف فازی'!$D$3,IF('امتیاز دهی خبرگان'!$D29=3,'طیف فازی'!$D$4,IF('امتیاز دهی خبرگان'!$D29=4,'طیف فازی'!$D$5,'طیف فازی'!$D$6)))))</f>
        <v>1</v>
      </c>
      <c r="I29" s="17">
        <f>IF('امتیاز دهی خبرگان'!$E29=0,0,IF('امتیاز دهی خبرگان'!$E29=1,'طیف فازی'!$B$2,IF('امتیاز دهی خبرگان'!$E29=2,'طیف فازی'!$B$3,IF('امتیاز دهی خبرگان'!$E29=3,'طیف فازی'!$B$4,IF('امتیاز دهی خبرگان'!$E29=4,'طیف فازی'!$B$5,'طیف فازی'!$B$6)))))</f>
        <v>0.5</v>
      </c>
      <c r="J29" s="18">
        <f>IF('امتیاز دهی خبرگان'!$E29=0,0,IF('امتیاز دهی خبرگان'!$E29=1,'طیف فازی'!$C$2,IF('امتیاز دهی خبرگان'!$E29=2,'طیف فازی'!$C$3,IF('امتیاز دهی خبرگان'!$E29=3,'طیف فازی'!$C$4,IF('امتیاز دهی خبرگان'!$E29=4,'طیف فازی'!$C$5,'طیف فازی'!$C$6)))))</f>
        <v>0.75</v>
      </c>
      <c r="K29" s="19">
        <f>IF('امتیاز دهی خبرگان'!$E29=0,0,IF('امتیاز دهی خبرگان'!$E29=1,'طیف فازی'!$D$2,IF('امتیاز دهی خبرگان'!$E29=2,'طیف فازی'!$D$3,IF('امتیاز دهی خبرگان'!$E29=3,'طیف فازی'!$D$4,IF('امتیاز دهی خبرگان'!$E29=4,'طیف فازی'!$D$5,'طیف فازی'!$D$6)))))</f>
        <v>1</v>
      </c>
      <c r="L29" s="17">
        <f>IF('امتیاز دهی خبرگان'!$F29=0,0,IF('امتیاز دهی خبرگان'!$F29=1,'طیف فازی'!$B$2,IF('امتیاز دهی خبرگان'!$F29=2,'طیف فازی'!$B$3,IF('امتیاز دهی خبرگان'!$F29=3,'طیف فازی'!$B$4,IF('امتیاز دهی خبرگان'!$F29=4,'طیف فازی'!$B$5,'طیف فازی'!$B$6)))))</f>
        <v>0.25</v>
      </c>
      <c r="M29" s="18">
        <f>IF('امتیاز دهی خبرگان'!$F29=0,0,IF('امتیاز دهی خبرگان'!$F29=1,'طیف فازی'!$C$2,IF('امتیاز دهی خبرگان'!$F29=2,'طیف فازی'!$C$3,IF('امتیاز دهی خبرگان'!$F29=3,'طیف فازی'!$C$4,IF('امتیاز دهی خبرگان'!$F29=4,'طیف فازی'!$C$5,'طیف فازی'!$C$6)))))</f>
        <v>0.5</v>
      </c>
      <c r="N29" s="19">
        <f>IF('امتیاز دهی خبرگان'!$F29=0,0,IF('امتیاز دهی خبرگان'!$F29=1,'طیف فازی'!$D$2,IF('امتیاز دهی خبرگان'!$F29=2,'طیف فازی'!$D$3,IF('امتیاز دهی خبرگان'!$F29=3,'طیف فازی'!$D$4,IF('امتیاز دهی خبرگان'!$F29=4,'طیف فازی'!$D$5,'طیف فازی'!$D$6)))))</f>
        <v>0.75</v>
      </c>
      <c r="O29" s="17">
        <f>IF('امتیاز دهی خبرگان'!$G29=0,0,IF('امتیاز دهی خبرگان'!$G29=1,'طیف فازی'!$B$2,IF('امتیاز دهی خبرگان'!$G29=2,'طیف فازی'!$B$3,IF('امتیاز دهی خبرگان'!$G29=3,'طیف فازی'!$B$4,IF('امتیاز دهی خبرگان'!$G29=4,'طیف فازی'!$B$5,'طیف فازی'!$B$6)))))</f>
        <v>0.25</v>
      </c>
      <c r="P29" s="18">
        <f>IF('امتیاز دهی خبرگان'!$G29=0,0,IF('امتیاز دهی خبرگان'!$G29=1,'طیف فازی'!$C$2,IF('امتیاز دهی خبرگان'!$G29=2,'طیف فازی'!$C$3,IF('امتیاز دهی خبرگان'!$G29=3,'طیف فازی'!$C$4,IF('امتیاز دهی خبرگان'!$G29=4,'طیف فازی'!$C$5,'طیف فازی'!$C$6)))))</f>
        <v>0.5</v>
      </c>
      <c r="Q29" s="19">
        <f>IF('امتیاز دهی خبرگان'!$G29=0,0,IF('امتیاز دهی خبرگان'!$G29=1,'طیف فازی'!$D$2,IF('امتیاز دهی خبرگان'!$G29=2,'طیف فازی'!$D$3,IF('امتیاز دهی خبرگان'!$G29=3,'طیف فازی'!$D$4,IF('امتیاز دهی خبرگان'!$G29=4,'طیف فازی'!$D$5,'طیف فازی'!$D$6)))))</f>
        <v>0.75</v>
      </c>
      <c r="R29" s="17">
        <f>IF('امتیاز دهی خبرگان'!$H29=0,0,IF('امتیاز دهی خبرگان'!$H29=1,'طیف فازی'!$B$2,IF('امتیاز دهی خبرگان'!$H29=2,'طیف فازی'!$B$3,IF('امتیاز دهی خبرگان'!$H29=3,'طیف فازی'!$B$4,IF('امتیاز دهی خبرگان'!$H29=4,'طیف فازی'!$B$5,'طیف فازی'!$B$6)))))</f>
        <v>0</v>
      </c>
      <c r="S29" s="18">
        <f>IF('امتیاز دهی خبرگان'!$H29=0,0,IF('امتیاز دهی خبرگان'!$H29=1,'طیف فازی'!$C$2,IF('امتیاز دهی خبرگان'!$H29=2,'طیف فازی'!$C$3,IF('امتیاز دهی خبرگان'!$H29=3,'طیف فازی'!$C$4,IF('امتیاز دهی خبرگان'!$H29=4,'طیف فازی'!$C$5,'طیف فازی'!$C$6)))))</f>
        <v>0.25</v>
      </c>
      <c r="T29" s="19">
        <f>IF('امتیاز دهی خبرگان'!$H29=0,0,IF('امتیاز دهی خبرگان'!$H29=1,'طیف فازی'!$D$2,IF('امتیاز دهی خبرگان'!$H29=2,'طیف فازی'!$D$3,IF('امتیاز دهی خبرگان'!$H29=3,'طیف فازی'!$D$4,IF('امتیاز دهی خبرگان'!$H29=4,'طیف فازی'!$D$5,'طیف فازی'!$D$6)))))</f>
        <v>0.5</v>
      </c>
      <c r="U29" s="17">
        <f>IF('امتیاز دهی خبرگان'!$I29=0,0,IF('امتیاز دهی خبرگان'!$I29=1,'طیف فازی'!$B$2,IF('امتیاز دهی خبرگان'!$I29=2,'طیف فازی'!$B$3,IF('امتیاز دهی خبرگان'!$I29=3,'طیف فازی'!$B$4,IF('امتیاز دهی خبرگان'!$I29=4,'طیف فازی'!$B$5,'طیف فازی'!$B$6)))))</f>
        <v>0.75</v>
      </c>
      <c r="V29" s="18">
        <f>IF('امتیاز دهی خبرگان'!$I29=0,0,IF('امتیاز دهی خبرگان'!$I29=1,'طیف فازی'!$C$2,IF('امتیاز دهی خبرگان'!$I29=2,'طیف فازی'!$C$3,IF('امتیاز دهی خبرگان'!$I29=3,'طیف فازی'!$C$4,IF('امتیاز دهی خبرگان'!$I29=4,'طیف فازی'!$C$5,'طیف فازی'!$C$6)))))</f>
        <v>1</v>
      </c>
      <c r="W29" s="19">
        <f>IF('امتیاز دهی خبرگان'!$I29=0,0,IF('امتیاز دهی خبرگان'!$I29=1,'طیف فازی'!$D$2,IF('امتیاز دهی خبرگان'!$I29=2,'طیف فازی'!$D$3,IF('امتیاز دهی خبرگان'!$I29=3,'طیف فازی'!$D$4,IF('امتیاز دهی خبرگان'!$I29=4,'طیف فازی'!$D$5,'طیف فازی'!$D$6)))))</f>
        <v>1</v>
      </c>
      <c r="X29" s="17">
        <f>IF('امتیاز دهی خبرگان'!$J29=0,0,IF('امتیاز دهی خبرگان'!$J29=1,'طیف فازی'!$B$2,IF('امتیاز دهی خبرگان'!$J29=2,'طیف فازی'!$B$3,IF('امتیاز دهی خبرگان'!$J29=3,'طیف فازی'!$B$4,IF('امتیاز دهی خبرگان'!$J29=4,'طیف فازی'!$B$5,'طیف فازی'!$B$6)))))</f>
        <v>0.5</v>
      </c>
      <c r="Y29" s="18">
        <f>IF('امتیاز دهی خبرگان'!$J29=0,0,IF('امتیاز دهی خبرگان'!$J29=1,'طیف فازی'!$C$2,IF('امتیاز دهی خبرگان'!$J29=2,'طیف فازی'!$C$3,IF('امتیاز دهی خبرگان'!$J29=3,'طیف فازی'!$C$4,IF('امتیاز دهی خبرگان'!$J29=4,'طیف فازی'!$C$5,'طیف فازی'!$C$6)))))</f>
        <v>0.75</v>
      </c>
      <c r="Z29" s="19">
        <f>IF('امتیاز دهی خبرگان'!$J29=0,0,IF('امتیاز دهی خبرگان'!$J29=1,'طیف فازی'!$D$2,IF('امتیاز دهی خبرگان'!$J29=2,'طیف فازی'!$D$3,IF('امتیاز دهی خبرگان'!$J29=3,'طیف فازی'!$D$4,IF('امتیاز دهی خبرگان'!$J29=4,'طیف فازی'!$D$5,'طیف فازی'!$D$6)))))</f>
        <v>1</v>
      </c>
      <c r="AA29" s="17">
        <f>IF('امتیاز دهی خبرگان'!$K29=0,0,IF('امتیاز دهی خبرگان'!$K29=1,'طیف فازی'!$B$2,IF('امتیاز دهی خبرگان'!$K29=2,'طیف فازی'!$B$3,IF('امتیاز دهی خبرگان'!$K29=3,'طیف فازی'!$B$4,IF('امتیاز دهی خبرگان'!$K29=4,'طیف فازی'!$B$5,'طیف فازی'!$B$6)))))</f>
        <v>0.75</v>
      </c>
      <c r="AB29" s="18">
        <f>IF('امتیاز دهی خبرگان'!$K29=0,0,IF('امتیاز دهی خبرگان'!$K29=1,'طیف فازی'!$C$2,IF('امتیاز دهی خبرگان'!$K29=2,'طیف فازی'!$C$3,IF('امتیاز دهی خبرگان'!$K29=3,'طیف فازی'!$C$4,IF('امتیاز دهی خبرگان'!$K29=4,'طیف فازی'!$C$5,'طیف فازی'!$C$6)))))</f>
        <v>1</v>
      </c>
      <c r="AC29" s="19">
        <f>IF('امتیاز دهی خبرگان'!$K29=0,0,IF('امتیاز دهی خبرگان'!$K29=1,'طیف فازی'!$D$2,IF('امتیاز دهی خبرگان'!$K29=2,'طیف فازی'!$D$3,IF('امتیاز دهی خبرگان'!$K29=3,'طیف فازی'!$D$4,IF('امتیاز دهی خبرگان'!$K29=4,'طیف فازی'!$D$5,'طیف فازی'!$D$6)))))</f>
        <v>1</v>
      </c>
      <c r="AD29" s="17">
        <f>IF('امتیاز دهی خبرگان'!$L29=0,0,IF('امتیاز دهی خبرگان'!$L29=1,'طیف فازی'!$B$2,IF('امتیاز دهی خبرگان'!$L29=2,'طیف فازی'!$B$3,IF('امتیاز دهی خبرگان'!$L29=3,'طیف فازی'!$B$4,IF('امتیاز دهی خبرگان'!$L29=4,'طیف فازی'!$B$5,'طیف فازی'!$B$6)))))</f>
        <v>0.75</v>
      </c>
      <c r="AE29" s="18">
        <f>IF('امتیاز دهی خبرگان'!$L29=0,0,IF('امتیاز دهی خبرگان'!$L29=1,'طیف فازی'!$C$2,IF('امتیاز دهی خبرگان'!$L29=2,'طیف فازی'!$C$3,IF('امتیاز دهی خبرگان'!$L29=3,'طیف فازی'!$C$4,IF('امتیاز دهی خبرگان'!$L29=4,'طیف فازی'!$C$5,'طیف فازی'!$C$6)))))</f>
        <v>1</v>
      </c>
      <c r="AF29" s="19">
        <f>IF('امتیاز دهی خبرگان'!$L29=0,0,IF('امتیاز دهی خبرگان'!$L29=1,'طیف فازی'!$D$2,IF('امتیاز دهی خبرگان'!$L29=2,'طیف فازی'!$D$3,IF('امتیاز دهی خبرگان'!$L29=3,'طیف فازی'!$D$4,IF('امتیاز دهی خبرگان'!$L29=4,'طیف فازی'!$D$5,'طیف فازی'!$D$6)))))</f>
        <v>1</v>
      </c>
      <c r="AG29" s="17">
        <f>IF('امتیاز دهی خبرگان'!$M29=0,0,IF('امتیاز دهی خبرگان'!$M29=1,'طیف فازی'!$B$2,IF('امتیاز دهی خبرگان'!$M29=2,'طیف فازی'!$B$3,IF('امتیاز دهی خبرگان'!$M29=3,'طیف فازی'!$B$4,IF('امتیاز دهی خبرگان'!$M29=4,'طیف فازی'!$B$5,'طیف فازی'!$B$6)))))</f>
        <v>0.75</v>
      </c>
      <c r="AH29" s="18">
        <f>IF('امتیاز دهی خبرگان'!$M29=0,0,IF('امتیاز دهی خبرگان'!$M29=1,'طیف فازی'!$C$2,IF('امتیاز دهی خبرگان'!$M29=2,'طیف فازی'!$C$3,IF('امتیاز دهی خبرگان'!$M29=3,'طیف فازی'!$C$4,IF('امتیاز دهی خبرگان'!$M29=4,'طیف فازی'!$C$5,'طیف فازی'!$C$6)))))</f>
        <v>1</v>
      </c>
      <c r="AI29" s="19">
        <f>IF('امتیاز دهی خبرگان'!$M29=0,0,IF('امتیاز دهی خبرگان'!$M29=1,'طیف فازی'!$D$2,IF('امتیاز دهی خبرگان'!$M29=2,'طیف فازی'!$D$3,IF('امتیاز دهی خبرگان'!$M29=3,'طیف فازی'!$D$4,IF('امتیاز دهی خبرگان'!$M29=4,'طیف فازی'!$D$5,'طیف فازی'!$D$6)))))</f>
        <v>1</v>
      </c>
      <c r="AJ29" s="17">
        <f>IF('امتیاز دهی خبرگان'!$N29=0,0,IF('امتیاز دهی خبرگان'!$N29=1,'طیف فازی'!$B$2,IF('امتیاز دهی خبرگان'!$N29=2,'طیف فازی'!$B$3,IF('امتیاز دهی خبرگان'!$N29=3,'طیف فازی'!$B$4,IF('امتیاز دهی خبرگان'!$N29=4,'طیف فازی'!$B$5,'طیف فازی'!$B$6)))))</f>
        <v>0.75</v>
      </c>
      <c r="AK29" s="18">
        <f>IF('امتیاز دهی خبرگان'!$N29=0,0,IF('امتیاز دهی خبرگان'!$N29=1,'طیف فازی'!$C$2,IF('امتیاز دهی خبرگان'!$N29=2,'طیف فازی'!$C$3,IF('امتیاز دهی خبرگان'!$N29=3,'طیف فازی'!$C$4,IF('امتیاز دهی خبرگان'!$N29=4,'طیف فازی'!$C$5,'طیف فازی'!$C$6)))))</f>
        <v>1</v>
      </c>
      <c r="AL29" s="19">
        <f>IF('امتیاز دهی خبرگان'!$N29=0,0,IF('امتیاز دهی خبرگان'!$N29=1,'طیف فازی'!$D$2,IF('امتیاز دهی خبرگان'!$N29=2,'طیف فازی'!$D$3,IF('امتیاز دهی خبرگان'!$N29=3,'طیف فازی'!$D$4,IF('امتیاز دهی خبرگان'!$N29=4,'طیف فازی'!$D$5,'طیف فازی'!$D$6)))))</f>
        <v>1</v>
      </c>
      <c r="AM29" s="23">
        <f t="shared" si="1"/>
        <v>6.5</v>
      </c>
      <c r="AN29" s="23">
        <f t="shared" si="2"/>
        <v>9.5</v>
      </c>
      <c r="AO29" s="24">
        <f t="shared" si="3"/>
        <v>11</v>
      </c>
      <c r="AP29" s="25">
        <f t="shared" si="4"/>
        <v>0.54166666666666663</v>
      </c>
      <c r="AQ29" s="23">
        <f t="shared" si="5"/>
        <v>0.79166666666666663</v>
      </c>
      <c r="AR29" s="24">
        <f t="shared" si="6"/>
        <v>0.91666666666666663</v>
      </c>
      <c r="AS29" s="24">
        <f t="shared" si="7"/>
        <v>0.75</v>
      </c>
      <c r="AT29" s="24" t="str">
        <f t="shared" si="8"/>
        <v>Pass</v>
      </c>
    </row>
    <row r="30" spans="2:46" ht="23.25" customHeight="1" thickBot="1" x14ac:dyDescent="0.85">
      <c r="B30" s="2">
        <v>28</v>
      </c>
      <c r="C30" s="17">
        <f>IF('امتیاز دهی خبرگان'!$C30=0,0,IF('امتیاز دهی خبرگان'!$C30=1,'طیف فازی'!$B$2,IF('امتیاز دهی خبرگان'!$C30=2,'طیف فازی'!$B$3,IF('امتیاز دهی خبرگان'!$C30=3,'طیف فازی'!$B$4,IF('امتیاز دهی خبرگان'!$C30=4,'طیف فازی'!$B$5,'طیف فازی'!$B$6)))))</f>
        <v>0.75</v>
      </c>
      <c r="D30" s="18">
        <f>IF('امتیاز دهی خبرگان'!$C30=0,0,IF('امتیاز دهی خبرگان'!$C30=1,'طیف فازی'!$C$2,IF('امتیاز دهی خبرگان'!$C30=2,'طیف فازی'!$C$3,IF('امتیاز دهی خبرگان'!$C30=3,'طیف فازی'!$C$4,IF('امتیاز دهی خبرگان'!$C30=4,'طیف فازی'!$C$5,'طیف فازی'!$C$6)))))</f>
        <v>1</v>
      </c>
      <c r="E30" s="19">
        <f>IF('امتیاز دهی خبرگان'!$C30=0,0,IF('امتیاز دهی خبرگان'!$C30=1,'طیف فازی'!$D$2,IF('امتیاز دهی خبرگان'!$C30=2,'طیف فازی'!$D$3,IF('امتیاز دهی خبرگان'!$C30=3,'طیف فازی'!$D$4,IF('امتیاز دهی خبرگان'!$C30=4,'طیف فازی'!$D$5,'طیف فازی'!$D$6)))))</f>
        <v>1</v>
      </c>
      <c r="F30" s="20">
        <f>IF('امتیاز دهی خبرگان'!$D30=0,0,IF('امتیاز دهی خبرگان'!$D30=1,'طیف فازی'!$B$2,IF('امتیاز دهی خبرگان'!$D30=2,'طیف فازی'!$B$3,IF('امتیاز دهی خبرگان'!$D30=3,'طیف فازی'!$B$4,IF('امتیاز دهی خبرگان'!$D30=4,'طیف فازی'!$B$5,'طیف فازی'!$B$6)))))</f>
        <v>0.25</v>
      </c>
      <c r="G30" s="21">
        <f>IF('امتیاز دهی خبرگان'!$D30=0,0,IF('امتیاز دهی خبرگان'!$D30=1,'طیف فازی'!$D$2,IF('امتیاز دهی خبرگان'!$D30=2,'طیف فازی'!$C$3,IF('امتیاز دهی خبرگان'!$D30=3,'طیف فازی'!$C$4,IF('امتیاز دهی خبرگان'!$D30=4,'طیف فازی'!$C$5,'طیف فازی'!$C$6)))))</f>
        <v>0.5</v>
      </c>
      <c r="H30" s="22">
        <f>IF('امتیاز دهی خبرگان'!$D30=0,0,IF('امتیاز دهی خبرگان'!$D30=1,'طیف فازی'!$D$2,IF('امتیاز دهی خبرگان'!$D30=2,'طیف فازی'!$D$3,IF('امتیاز دهی خبرگان'!$D30=3,'طیف فازی'!$D$4,IF('امتیاز دهی خبرگان'!$D30=4,'طیف فازی'!$D$5,'طیف فازی'!$D$6)))))</f>
        <v>0.75</v>
      </c>
      <c r="I30" s="17">
        <f>IF('امتیاز دهی خبرگان'!$E30=0,0,IF('امتیاز دهی خبرگان'!$E30=1,'طیف فازی'!$B$2,IF('امتیاز دهی خبرگان'!$E30=2,'طیف فازی'!$B$3,IF('امتیاز دهی خبرگان'!$E30=3,'طیف فازی'!$B$4,IF('امتیاز دهی خبرگان'!$E30=4,'طیف فازی'!$B$5,'طیف فازی'!$B$6)))))</f>
        <v>0.5</v>
      </c>
      <c r="J30" s="18">
        <f>IF('امتیاز دهی خبرگان'!$E30=0,0,IF('امتیاز دهی خبرگان'!$E30=1,'طیف فازی'!$C$2,IF('امتیاز دهی خبرگان'!$E30=2,'طیف فازی'!$C$3,IF('امتیاز دهی خبرگان'!$E30=3,'طیف فازی'!$C$4,IF('امتیاز دهی خبرگان'!$E30=4,'طیف فازی'!$C$5,'طیف فازی'!$C$6)))))</f>
        <v>0.75</v>
      </c>
      <c r="K30" s="19">
        <f>IF('امتیاز دهی خبرگان'!$E30=0,0,IF('امتیاز دهی خبرگان'!$E30=1,'طیف فازی'!$D$2,IF('امتیاز دهی خبرگان'!$E30=2,'طیف فازی'!$D$3,IF('امتیاز دهی خبرگان'!$E30=3,'طیف فازی'!$D$4,IF('امتیاز دهی خبرگان'!$E30=4,'طیف فازی'!$D$5,'طیف فازی'!$D$6)))))</f>
        <v>1</v>
      </c>
      <c r="L30" s="17">
        <f>IF('امتیاز دهی خبرگان'!$F30=0,0,IF('امتیاز دهی خبرگان'!$F30=1,'طیف فازی'!$B$2,IF('امتیاز دهی خبرگان'!$F30=2,'طیف فازی'!$B$3,IF('امتیاز دهی خبرگان'!$F30=3,'طیف فازی'!$B$4,IF('امتیاز دهی خبرگان'!$F30=4,'طیف فازی'!$B$5,'طیف فازی'!$B$6)))))</f>
        <v>0.25</v>
      </c>
      <c r="M30" s="18">
        <f>IF('امتیاز دهی خبرگان'!$F30=0,0,IF('امتیاز دهی خبرگان'!$F30=1,'طیف فازی'!$C$2,IF('امتیاز دهی خبرگان'!$F30=2,'طیف فازی'!$C$3,IF('امتیاز دهی خبرگان'!$F30=3,'طیف فازی'!$C$4,IF('امتیاز دهی خبرگان'!$F30=4,'طیف فازی'!$C$5,'طیف فازی'!$C$6)))))</f>
        <v>0.5</v>
      </c>
      <c r="N30" s="19">
        <f>IF('امتیاز دهی خبرگان'!$F30=0,0,IF('امتیاز دهی خبرگان'!$F30=1,'طیف فازی'!$D$2,IF('امتیاز دهی خبرگان'!$F30=2,'طیف فازی'!$D$3,IF('امتیاز دهی خبرگان'!$F30=3,'طیف فازی'!$D$4,IF('امتیاز دهی خبرگان'!$F30=4,'طیف فازی'!$D$5,'طیف فازی'!$D$6)))))</f>
        <v>0.75</v>
      </c>
      <c r="O30" s="17">
        <f>IF('امتیاز دهی خبرگان'!$G30=0,0,IF('امتیاز دهی خبرگان'!$G30=1,'طیف فازی'!$B$2,IF('امتیاز دهی خبرگان'!$G30=2,'طیف فازی'!$B$3,IF('امتیاز دهی خبرگان'!$G30=3,'طیف فازی'!$B$4,IF('امتیاز دهی خبرگان'!$G30=4,'طیف فازی'!$B$5,'طیف فازی'!$B$6)))))</f>
        <v>0.25</v>
      </c>
      <c r="P30" s="18">
        <f>IF('امتیاز دهی خبرگان'!$G30=0,0,IF('امتیاز دهی خبرگان'!$G30=1,'طیف فازی'!$C$2,IF('امتیاز دهی خبرگان'!$G30=2,'طیف فازی'!$C$3,IF('امتیاز دهی خبرگان'!$G30=3,'طیف فازی'!$C$4,IF('امتیاز دهی خبرگان'!$G30=4,'طیف فازی'!$C$5,'طیف فازی'!$C$6)))))</f>
        <v>0.5</v>
      </c>
      <c r="Q30" s="19">
        <f>IF('امتیاز دهی خبرگان'!$G30=0,0,IF('امتیاز دهی خبرگان'!$G30=1,'طیف فازی'!$D$2,IF('امتیاز دهی خبرگان'!$G30=2,'طیف فازی'!$D$3,IF('امتیاز دهی خبرگان'!$G30=3,'طیف فازی'!$D$4,IF('امتیاز دهی خبرگان'!$G30=4,'طیف فازی'!$D$5,'طیف فازی'!$D$6)))))</f>
        <v>0.75</v>
      </c>
      <c r="R30" s="17">
        <f>IF('امتیاز دهی خبرگان'!$H30=0,0,IF('امتیاز دهی خبرگان'!$H30=1,'طیف فازی'!$B$2,IF('امتیاز دهی خبرگان'!$H30=2,'طیف فازی'!$B$3,IF('امتیاز دهی خبرگان'!$H30=3,'طیف فازی'!$B$4,IF('امتیاز دهی خبرگان'!$H30=4,'طیف فازی'!$B$5,'طیف فازی'!$B$6)))))</f>
        <v>0.5</v>
      </c>
      <c r="S30" s="18">
        <f>IF('امتیاز دهی خبرگان'!$H30=0,0,IF('امتیاز دهی خبرگان'!$H30=1,'طیف فازی'!$C$2,IF('امتیاز دهی خبرگان'!$H30=2,'طیف فازی'!$C$3,IF('امتیاز دهی خبرگان'!$H30=3,'طیف فازی'!$C$4,IF('امتیاز دهی خبرگان'!$H30=4,'طیف فازی'!$C$5,'طیف فازی'!$C$6)))))</f>
        <v>0.75</v>
      </c>
      <c r="T30" s="19">
        <f>IF('امتیاز دهی خبرگان'!$H30=0,0,IF('امتیاز دهی خبرگان'!$H30=1,'طیف فازی'!$D$2,IF('امتیاز دهی خبرگان'!$H30=2,'طیف فازی'!$D$3,IF('امتیاز دهی خبرگان'!$H30=3,'طیف فازی'!$D$4,IF('امتیاز دهی خبرگان'!$H30=4,'طیف فازی'!$D$5,'طیف فازی'!$D$6)))))</f>
        <v>1</v>
      </c>
      <c r="U30" s="17">
        <f>IF('امتیاز دهی خبرگان'!$I30=0,0,IF('امتیاز دهی خبرگان'!$I30=1,'طیف فازی'!$B$2,IF('امتیاز دهی خبرگان'!$I30=2,'طیف فازی'!$B$3,IF('امتیاز دهی خبرگان'!$I30=3,'طیف فازی'!$B$4,IF('امتیاز دهی خبرگان'!$I30=4,'طیف فازی'!$B$5,'طیف فازی'!$B$6)))))</f>
        <v>0.5</v>
      </c>
      <c r="V30" s="18">
        <f>IF('امتیاز دهی خبرگان'!$I30=0,0,IF('امتیاز دهی خبرگان'!$I30=1,'طیف فازی'!$C$2,IF('امتیاز دهی خبرگان'!$I30=2,'طیف فازی'!$C$3,IF('امتیاز دهی خبرگان'!$I30=3,'طیف فازی'!$C$4,IF('امتیاز دهی خبرگان'!$I30=4,'طیف فازی'!$C$5,'طیف فازی'!$C$6)))))</f>
        <v>0.75</v>
      </c>
      <c r="W30" s="19">
        <f>IF('امتیاز دهی خبرگان'!$I30=0,0,IF('امتیاز دهی خبرگان'!$I30=1,'طیف فازی'!$D$2,IF('امتیاز دهی خبرگان'!$I30=2,'طیف فازی'!$D$3,IF('امتیاز دهی خبرگان'!$I30=3,'طیف فازی'!$D$4,IF('امتیاز دهی خبرگان'!$I30=4,'طیف فازی'!$D$5,'طیف فازی'!$D$6)))))</f>
        <v>1</v>
      </c>
      <c r="X30" s="17">
        <f>IF('امتیاز دهی خبرگان'!$J30=0,0,IF('امتیاز دهی خبرگان'!$J30=1,'طیف فازی'!$B$2,IF('امتیاز دهی خبرگان'!$J30=2,'طیف فازی'!$B$3,IF('امتیاز دهی خبرگان'!$J30=3,'طیف فازی'!$B$4,IF('امتیاز دهی خبرگان'!$J30=4,'طیف فازی'!$B$5,'طیف فازی'!$B$6)))))</f>
        <v>0.25</v>
      </c>
      <c r="Y30" s="18">
        <f>IF('امتیاز دهی خبرگان'!$J30=0,0,IF('امتیاز دهی خبرگان'!$J30=1,'طیف فازی'!$C$2,IF('امتیاز دهی خبرگان'!$J30=2,'طیف فازی'!$C$3,IF('امتیاز دهی خبرگان'!$J30=3,'طیف فازی'!$C$4,IF('امتیاز دهی خبرگان'!$J30=4,'طیف فازی'!$C$5,'طیف فازی'!$C$6)))))</f>
        <v>0.5</v>
      </c>
      <c r="Z30" s="19">
        <f>IF('امتیاز دهی خبرگان'!$J30=0,0,IF('امتیاز دهی خبرگان'!$J30=1,'طیف فازی'!$D$2,IF('امتیاز دهی خبرگان'!$J30=2,'طیف فازی'!$D$3,IF('امتیاز دهی خبرگان'!$J30=3,'طیف فازی'!$D$4,IF('امتیاز دهی خبرگان'!$J30=4,'طیف فازی'!$D$5,'طیف فازی'!$D$6)))))</f>
        <v>0.75</v>
      </c>
      <c r="AA30" s="17">
        <f>IF('امتیاز دهی خبرگان'!$K30=0,0,IF('امتیاز دهی خبرگان'!$K30=1,'طیف فازی'!$B$2,IF('امتیاز دهی خبرگان'!$K30=2,'طیف فازی'!$B$3,IF('امتیاز دهی خبرگان'!$K30=3,'طیف فازی'!$B$4,IF('امتیاز دهی خبرگان'!$K30=4,'طیف فازی'!$B$5,'طیف فازی'!$B$6)))))</f>
        <v>0</v>
      </c>
      <c r="AB30" s="18">
        <f>IF('امتیاز دهی خبرگان'!$K30=0,0,IF('امتیاز دهی خبرگان'!$K30=1,'طیف فازی'!$C$2,IF('امتیاز دهی خبرگان'!$K30=2,'طیف فازی'!$C$3,IF('امتیاز دهی خبرگان'!$K30=3,'طیف فازی'!$C$4,IF('امتیاز دهی خبرگان'!$K30=4,'طیف فازی'!$C$5,'طیف فازی'!$C$6)))))</f>
        <v>0.25</v>
      </c>
      <c r="AC30" s="19">
        <f>IF('امتیاز دهی خبرگان'!$K30=0,0,IF('امتیاز دهی خبرگان'!$K30=1,'طیف فازی'!$D$2,IF('امتیاز دهی خبرگان'!$K30=2,'طیف فازی'!$D$3,IF('امتیاز دهی خبرگان'!$K30=3,'طیف فازی'!$D$4,IF('امتیاز دهی خبرگان'!$K30=4,'طیف فازی'!$D$5,'طیف فازی'!$D$6)))))</f>
        <v>0.5</v>
      </c>
      <c r="AD30" s="17">
        <f>IF('امتیاز دهی خبرگان'!$L30=0,0,IF('امتیاز دهی خبرگان'!$L30=1,'طیف فازی'!$B$2,IF('امتیاز دهی خبرگان'!$L30=2,'طیف فازی'!$B$3,IF('امتیاز دهی خبرگان'!$L30=3,'طیف فازی'!$B$4,IF('امتیاز دهی خبرگان'!$L30=4,'طیف فازی'!$B$5,'طیف فازی'!$B$6)))))</f>
        <v>0</v>
      </c>
      <c r="AE30" s="18">
        <f>IF('امتیاز دهی خبرگان'!$L30=0,0,IF('امتیاز دهی خبرگان'!$L30=1,'طیف فازی'!$C$2,IF('امتیاز دهی خبرگان'!$L30=2,'طیف فازی'!$C$3,IF('امتیاز دهی خبرگان'!$L30=3,'طیف فازی'!$C$4,IF('امتیاز دهی خبرگان'!$L30=4,'طیف فازی'!$C$5,'طیف فازی'!$C$6)))))</f>
        <v>0.25</v>
      </c>
      <c r="AF30" s="19">
        <f>IF('امتیاز دهی خبرگان'!$L30=0,0,IF('امتیاز دهی خبرگان'!$L30=1,'طیف فازی'!$D$2,IF('امتیاز دهی خبرگان'!$L30=2,'طیف فازی'!$D$3,IF('امتیاز دهی خبرگان'!$L30=3,'طیف فازی'!$D$4,IF('امتیاز دهی خبرگان'!$L30=4,'طیف فازی'!$D$5,'طیف فازی'!$D$6)))))</f>
        <v>0.5</v>
      </c>
      <c r="AG30" s="17">
        <f>IF('امتیاز دهی خبرگان'!$M30=0,0,IF('امتیاز دهی خبرگان'!$M30=1,'طیف فازی'!$B$2,IF('امتیاز دهی خبرگان'!$M30=2,'طیف فازی'!$B$3,IF('امتیاز دهی خبرگان'!$M30=3,'طیف فازی'!$B$4,IF('امتیاز دهی خبرگان'!$M30=4,'طیف فازی'!$B$5,'طیف فازی'!$B$6)))))</f>
        <v>0.25</v>
      </c>
      <c r="AH30" s="18">
        <f>IF('امتیاز دهی خبرگان'!$M30=0,0,IF('امتیاز دهی خبرگان'!$M30=1,'طیف فازی'!$C$2,IF('امتیاز دهی خبرگان'!$M30=2,'طیف فازی'!$C$3,IF('امتیاز دهی خبرگان'!$M30=3,'طیف فازی'!$C$4,IF('امتیاز دهی خبرگان'!$M30=4,'طیف فازی'!$C$5,'طیف فازی'!$C$6)))))</f>
        <v>0.5</v>
      </c>
      <c r="AI30" s="19">
        <f>IF('امتیاز دهی خبرگان'!$M30=0,0,IF('امتیاز دهی خبرگان'!$M30=1,'طیف فازی'!$D$2,IF('امتیاز دهی خبرگان'!$M30=2,'طیف فازی'!$D$3,IF('امتیاز دهی خبرگان'!$M30=3,'طیف فازی'!$D$4,IF('امتیاز دهی خبرگان'!$M30=4,'طیف فازی'!$D$5,'طیف فازی'!$D$6)))))</f>
        <v>0.75</v>
      </c>
      <c r="AJ30" s="17">
        <f>IF('امتیاز دهی خبرگان'!$N30=0,0,IF('امتیاز دهی خبرگان'!$N30=1,'طیف فازی'!$B$2,IF('امتیاز دهی خبرگان'!$N30=2,'طیف فازی'!$B$3,IF('امتیاز دهی خبرگان'!$N30=3,'طیف فازی'!$B$4,IF('امتیاز دهی خبرگان'!$N30=4,'طیف فازی'!$B$5,'طیف فازی'!$B$6)))))</f>
        <v>0.5</v>
      </c>
      <c r="AK30" s="18">
        <f>IF('امتیاز دهی خبرگان'!$N30=0,0,IF('امتیاز دهی خبرگان'!$N30=1,'طیف فازی'!$C$2,IF('امتیاز دهی خبرگان'!$N30=2,'طیف فازی'!$C$3,IF('امتیاز دهی خبرگان'!$N30=3,'طیف فازی'!$C$4,IF('امتیاز دهی خبرگان'!$N30=4,'طیف فازی'!$C$5,'طیف فازی'!$C$6)))))</f>
        <v>0.75</v>
      </c>
      <c r="AL30" s="19">
        <f>IF('امتیاز دهی خبرگان'!$N30=0,0,IF('امتیاز دهی خبرگان'!$N30=1,'طیف فازی'!$D$2,IF('امتیاز دهی خبرگان'!$N30=2,'طیف فازی'!$D$3,IF('امتیاز دهی خبرگان'!$N30=3,'طیف فازی'!$D$4,IF('امتیاز دهی خبرگان'!$N30=4,'طیف فازی'!$D$5,'طیف فازی'!$D$6)))))</f>
        <v>1</v>
      </c>
      <c r="AM30" s="23">
        <f t="shared" si="1"/>
        <v>4</v>
      </c>
      <c r="AN30" s="23">
        <f t="shared" si="2"/>
        <v>7</v>
      </c>
      <c r="AO30" s="24">
        <f t="shared" si="3"/>
        <v>9.75</v>
      </c>
      <c r="AP30" s="25">
        <f t="shared" si="4"/>
        <v>0.33333333333333331</v>
      </c>
      <c r="AQ30" s="23">
        <f t="shared" si="5"/>
        <v>0.58333333333333337</v>
      </c>
      <c r="AR30" s="24">
        <f t="shared" si="6"/>
        <v>0.8125</v>
      </c>
      <c r="AS30" s="24">
        <f t="shared" si="7"/>
        <v>0.57638888888888895</v>
      </c>
      <c r="AT30" s="24" t="str">
        <f t="shared" si="8"/>
        <v>Not Pass</v>
      </c>
    </row>
    <row r="31" spans="2:46" ht="23.25" customHeight="1" thickBot="1" x14ac:dyDescent="0.85">
      <c r="B31" s="2">
        <v>29</v>
      </c>
      <c r="C31" s="17">
        <f>IF('امتیاز دهی خبرگان'!$C31=0,0,IF('امتیاز دهی خبرگان'!$C31=1,'طیف فازی'!$B$2,IF('امتیاز دهی خبرگان'!$C31=2,'طیف فازی'!$B$3,IF('امتیاز دهی خبرگان'!$C31=3,'طیف فازی'!$B$4,IF('امتیاز دهی خبرگان'!$C31=4,'طیف فازی'!$B$5,'طیف فازی'!$B$6)))))</f>
        <v>0.75</v>
      </c>
      <c r="D31" s="18">
        <f>IF('امتیاز دهی خبرگان'!$C31=0,0,IF('امتیاز دهی خبرگان'!$C31=1,'طیف فازی'!$C$2,IF('امتیاز دهی خبرگان'!$C31=2,'طیف فازی'!$C$3,IF('امتیاز دهی خبرگان'!$C31=3,'طیف فازی'!$C$4,IF('امتیاز دهی خبرگان'!$C31=4,'طیف فازی'!$C$5,'طیف فازی'!$C$6)))))</f>
        <v>1</v>
      </c>
      <c r="E31" s="19">
        <f>IF('امتیاز دهی خبرگان'!$C31=0,0,IF('امتیاز دهی خبرگان'!$C31=1,'طیف فازی'!$D$2,IF('امتیاز دهی خبرگان'!$C31=2,'طیف فازی'!$D$3,IF('امتیاز دهی خبرگان'!$C31=3,'طیف فازی'!$D$4,IF('امتیاز دهی خبرگان'!$C31=4,'طیف فازی'!$D$5,'طیف فازی'!$D$6)))))</f>
        <v>1</v>
      </c>
      <c r="F31" s="20">
        <f>IF('امتیاز دهی خبرگان'!$D31=0,0,IF('امتیاز دهی خبرگان'!$D31=1,'طیف فازی'!$B$2,IF('امتیاز دهی خبرگان'!$D31=2,'طیف فازی'!$B$3,IF('امتیاز دهی خبرگان'!$D31=3,'طیف فازی'!$B$4,IF('امتیاز دهی خبرگان'!$D31=4,'طیف فازی'!$B$5,'طیف فازی'!$B$6)))))</f>
        <v>0.25</v>
      </c>
      <c r="G31" s="21">
        <f>IF('امتیاز دهی خبرگان'!$D31=0,0,IF('امتیاز دهی خبرگان'!$D31=1,'طیف فازی'!$D$2,IF('امتیاز دهی خبرگان'!$D31=2,'طیف فازی'!$C$3,IF('امتیاز دهی خبرگان'!$D31=3,'طیف فازی'!$C$4,IF('امتیاز دهی خبرگان'!$D31=4,'طیف فازی'!$C$5,'طیف فازی'!$C$6)))))</f>
        <v>0.5</v>
      </c>
      <c r="H31" s="22">
        <f>IF('امتیاز دهی خبرگان'!$D31=0,0,IF('امتیاز دهی خبرگان'!$D31=1,'طیف فازی'!$D$2,IF('امتیاز دهی خبرگان'!$D31=2,'طیف فازی'!$D$3,IF('امتیاز دهی خبرگان'!$D31=3,'طیف فازی'!$D$4,IF('امتیاز دهی خبرگان'!$D31=4,'طیف فازی'!$D$5,'طیف فازی'!$D$6)))))</f>
        <v>0.75</v>
      </c>
      <c r="I31" s="17">
        <f>IF('امتیاز دهی خبرگان'!$E31=0,0,IF('امتیاز دهی خبرگان'!$E31=1,'طیف فازی'!$B$2,IF('امتیاز دهی خبرگان'!$E31=2,'طیف فازی'!$B$3,IF('امتیاز دهی خبرگان'!$E31=3,'طیف فازی'!$B$4,IF('امتیاز دهی خبرگان'!$E31=4,'طیف فازی'!$B$5,'طیف فازی'!$B$6)))))</f>
        <v>0</v>
      </c>
      <c r="J31" s="18">
        <f>IF('امتیاز دهی خبرگان'!$E31=0,0,IF('امتیاز دهی خبرگان'!$E31=1,'طیف فازی'!$C$2,IF('امتیاز دهی خبرگان'!$E31=2,'طیف فازی'!$C$3,IF('امتیاز دهی خبرگان'!$E31=3,'طیف فازی'!$C$4,IF('امتیاز دهی خبرگان'!$E31=4,'طیف فازی'!$C$5,'طیف فازی'!$C$6)))))</f>
        <v>0.25</v>
      </c>
      <c r="K31" s="19">
        <f>IF('امتیاز دهی خبرگان'!$E31=0,0,IF('امتیاز دهی خبرگان'!$E31=1,'طیف فازی'!$D$2,IF('امتیاز دهی خبرگان'!$E31=2,'طیف فازی'!$D$3,IF('امتیاز دهی خبرگان'!$E31=3,'طیف فازی'!$D$4,IF('امتیاز دهی خبرگان'!$E31=4,'طیف فازی'!$D$5,'طیف فازی'!$D$6)))))</f>
        <v>0.5</v>
      </c>
      <c r="L31" s="17">
        <f>IF('امتیاز دهی خبرگان'!$F31=0,0,IF('امتیاز دهی خبرگان'!$F31=1,'طیف فازی'!$B$2,IF('امتیاز دهی خبرگان'!$F31=2,'طیف فازی'!$B$3,IF('امتیاز دهی خبرگان'!$F31=3,'طیف فازی'!$B$4,IF('امتیاز دهی خبرگان'!$F31=4,'طیف فازی'!$B$5,'طیف فازی'!$B$6)))))</f>
        <v>0</v>
      </c>
      <c r="M31" s="18">
        <f>IF('امتیاز دهی خبرگان'!$F31=0,0,IF('امتیاز دهی خبرگان'!$F31=1,'طیف فازی'!$C$2,IF('امتیاز دهی خبرگان'!$F31=2,'طیف فازی'!$C$3,IF('امتیاز دهی خبرگان'!$F31=3,'طیف فازی'!$C$4,IF('امتیاز دهی خبرگان'!$F31=4,'طیف فازی'!$C$5,'طیف فازی'!$C$6)))))</f>
        <v>0.25</v>
      </c>
      <c r="N31" s="19">
        <f>IF('امتیاز دهی خبرگان'!$F31=0,0,IF('امتیاز دهی خبرگان'!$F31=1,'طیف فازی'!$D$2,IF('امتیاز دهی خبرگان'!$F31=2,'طیف فازی'!$D$3,IF('امتیاز دهی خبرگان'!$F31=3,'طیف فازی'!$D$4,IF('امتیاز دهی خبرگان'!$F31=4,'طیف فازی'!$D$5,'طیف فازی'!$D$6)))))</f>
        <v>0.5</v>
      </c>
      <c r="O31" s="17">
        <f>IF('امتیاز دهی خبرگان'!$G31=0,0,IF('امتیاز دهی خبرگان'!$G31=1,'طیف فازی'!$B$2,IF('امتیاز دهی خبرگان'!$G31=2,'طیف فازی'!$B$3,IF('امتیاز دهی خبرگان'!$G31=3,'طیف فازی'!$B$4,IF('امتیاز دهی خبرگان'!$G31=4,'طیف فازی'!$B$5,'طیف فازی'!$B$6)))))</f>
        <v>0.5</v>
      </c>
      <c r="P31" s="18">
        <f>IF('امتیاز دهی خبرگان'!$G31=0,0,IF('امتیاز دهی خبرگان'!$G31=1,'طیف فازی'!$C$2,IF('امتیاز دهی خبرگان'!$G31=2,'طیف فازی'!$C$3,IF('امتیاز دهی خبرگان'!$G31=3,'طیف فازی'!$C$4,IF('امتیاز دهی خبرگان'!$G31=4,'طیف فازی'!$C$5,'طیف فازی'!$C$6)))))</f>
        <v>0.75</v>
      </c>
      <c r="Q31" s="19">
        <f>IF('امتیاز دهی خبرگان'!$G31=0,0,IF('امتیاز دهی خبرگان'!$G31=1,'طیف فازی'!$D$2,IF('امتیاز دهی خبرگان'!$G31=2,'طیف فازی'!$D$3,IF('امتیاز دهی خبرگان'!$G31=3,'طیف فازی'!$D$4,IF('امتیاز دهی خبرگان'!$G31=4,'طیف فازی'!$D$5,'طیف فازی'!$D$6)))))</f>
        <v>1</v>
      </c>
      <c r="R31" s="17">
        <f>IF('امتیاز دهی خبرگان'!$H31=0,0,IF('امتیاز دهی خبرگان'!$H31=1,'طیف فازی'!$B$2,IF('امتیاز دهی خبرگان'!$H31=2,'طیف فازی'!$B$3,IF('امتیاز دهی خبرگان'!$H31=3,'طیف فازی'!$B$4,IF('امتیاز دهی خبرگان'!$H31=4,'طیف فازی'!$B$5,'طیف فازی'!$B$6)))))</f>
        <v>0.5</v>
      </c>
      <c r="S31" s="18">
        <f>IF('امتیاز دهی خبرگان'!$H31=0,0,IF('امتیاز دهی خبرگان'!$H31=1,'طیف فازی'!$C$2,IF('امتیاز دهی خبرگان'!$H31=2,'طیف فازی'!$C$3,IF('امتیاز دهی خبرگان'!$H31=3,'طیف فازی'!$C$4,IF('امتیاز دهی خبرگان'!$H31=4,'طیف فازی'!$C$5,'طیف فازی'!$C$6)))))</f>
        <v>0.75</v>
      </c>
      <c r="T31" s="19">
        <f>IF('امتیاز دهی خبرگان'!$H31=0,0,IF('امتیاز دهی خبرگان'!$H31=1,'طیف فازی'!$D$2,IF('امتیاز دهی خبرگان'!$H31=2,'طیف فازی'!$D$3,IF('امتیاز دهی خبرگان'!$H31=3,'طیف فازی'!$D$4,IF('امتیاز دهی خبرگان'!$H31=4,'طیف فازی'!$D$5,'طیف فازی'!$D$6)))))</f>
        <v>1</v>
      </c>
      <c r="U31" s="17">
        <f>IF('امتیاز دهی خبرگان'!$I31=0,0,IF('امتیاز دهی خبرگان'!$I31=1,'طیف فازی'!$B$2,IF('امتیاز دهی خبرگان'!$I31=2,'طیف فازی'!$B$3,IF('امتیاز دهی خبرگان'!$I31=3,'طیف فازی'!$B$4,IF('امتیاز دهی خبرگان'!$I31=4,'طیف فازی'!$B$5,'طیف فازی'!$B$6)))))</f>
        <v>0.75</v>
      </c>
      <c r="V31" s="18">
        <f>IF('امتیاز دهی خبرگان'!$I31=0,0,IF('امتیاز دهی خبرگان'!$I31=1,'طیف فازی'!$C$2,IF('امتیاز دهی خبرگان'!$I31=2,'طیف فازی'!$C$3,IF('امتیاز دهی خبرگان'!$I31=3,'طیف فازی'!$C$4,IF('امتیاز دهی خبرگان'!$I31=4,'طیف فازی'!$C$5,'طیف فازی'!$C$6)))))</f>
        <v>1</v>
      </c>
      <c r="W31" s="19">
        <f>IF('امتیاز دهی خبرگان'!$I31=0,0,IF('امتیاز دهی خبرگان'!$I31=1,'طیف فازی'!$D$2,IF('امتیاز دهی خبرگان'!$I31=2,'طیف فازی'!$D$3,IF('امتیاز دهی خبرگان'!$I31=3,'طیف فازی'!$D$4,IF('امتیاز دهی خبرگان'!$I31=4,'طیف فازی'!$D$5,'طیف فازی'!$D$6)))))</f>
        <v>1</v>
      </c>
      <c r="X31" s="17">
        <f>IF('امتیاز دهی خبرگان'!$J31=0,0,IF('امتیاز دهی خبرگان'!$J31=1,'طیف فازی'!$B$2,IF('امتیاز دهی خبرگان'!$J31=2,'طیف فازی'!$B$3,IF('امتیاز دهی خبرگان'!$J31=3,'طیف فازی'!$B$4,IF('امتیاز دهی خبرگان'!$J31=4,'طیف فازی'!$B$5,'طیف فازی'!$B$6)))))</f>
        <v>0.75</v>
      </c>
      <c r="Y31" s="18">
        <f>IF('امتیاز دهی خبرگان'!$J31=0,0,IF('امتیاز دهی خبرگان'!$J31=1,'طیف فازی'!$C$2,IF('امتیاز دهی خبرگان'!$J31=2,'طیف فازی'!$C$3,IF('امتیاز دهی خبرگان'!$J31=3,'طیف فازی'!$C$4,IF('امتیاز دهی خبرگان'!$J31=4,'طیف فازی'!$C$5,'طیف فازی'!$C$6)))))</f>
        <v>1</v>
      </c>
      <c r="Z31" s="19">
        <f>IF('امتیاز دهی خبرگان'!$J31=0,0,IF('امتیاز دهی خبرگان'!$J31=1,'طیف فازی'!$D$2,IF('امتیاز دهی خبرگان'!$J31=2,'طیف فازی'!$D$3,IF('امتیاز دهی خبرگان'!$J31=3,'طیف فازی'!$D$4,IF('امتیاز دهی خبرگان'!$J31=4,'طیف فازی'!$D$5,'طیف فازی'!$D$6)))))</f>
        <v>1</v>
      </c>
      <c r="AA31" s="17">
        <f>IF('امتیاز دهی خبرگان'!$K31=0,0,IF('امتیاز دهی خبرگان'!$K31=1,'طیف فازی'!$B$2,IF('امتیاز دهی خبرگان'!$K31=2,'طیف فازی'!$B$3,IF('امتیاز دهی خبرگان'!$K31=3,'طیف فازی'!$B$4,IF('امتیاز دهی خبرگان'!$K31=4,'طیف فازی'!$B$5,'طیف فازی'!$B$6)))))</f>
        <v>0.75</v>
      </c>
      <c r="AB31" s="18">
        <f>IF('امتیاز دهی خبرگان'!$K31=0,0,IF('امتیاز دهی خبرگان'!$K31=1,'طیف فازی'!$C$2,IF('امتیاز دهی خبرگان'!$K31=2,'طیف فازی'!$C$3,IF('امتیاز دهی خبرگان'!$K31=3,'طیف فازی'!$C$4,IF('امتیاز دهی خبرگان'!$K31=4,'طیف فازی'!$C$5,'طیف فازی'!$C$6)))))</f>
        <v>1</v>
      </c>
      <c r="AC31" s="19">
        <f>IF('امتیاز دهی خبرگان'!$K31=0,0,IF('امتیاز دهی خبرگان'!$K31=1,'طیف فازی'!$D$2,IF('امتیاز دهی خبرگان'!$K31=2,'طیف فازی'!$D$3,IF('امتیاز دهی خبرگان'!$K31=3,'طیف فازی'!$D$4,IF('امتیاز دهی خبرگان'!$K31=4,'طیف فازی'!$D$5,'طیف فازی'!$D$6)))))</f>
        <v>1</v>
      </c>
      <c r="AD31" s="17">
        <f>IF('امتیاز دهی خبرگان'!$L31=0,0,IF('امتیاز دهی خبرگان'!$L31=1,'طیف فازی'!$B$2,IF('امتیاز دهی خبرگان'!$L31=2,'طیف فازی'!$B$3,IF('امتیاز دهی خبرگان'!$L31=3,'طیف فازی'!$B$4,IF('امتیاز دهی خبرگان'!$L31=4,'طیف فازی'!$B$5,'طیف فازی'!$B$6)))))</f>
        <v>0.75</v>
      </c>
      <c r="AE31" s="18">
        <f>IF('امتیاز دهی خبرگان'!$L31=0,0,IF('امتیاز دهی خبرگان'!$L31=1,'طیف فازی'!$C$2,IF('امتیاز دهی خبرگان'!$L31=2,'طیف فازی'!$C$3,IF('امتیاز دهی خبرگان'!$L31=3,'طیف فازی'!$C$4,IF('امتیاز دهی خبرگان'!$L31=4,'طیف فازی'!$C$5,'طیف فازی'!$C$6)))))</f>
        <v>1</v>
      </c>
      <c r="AF31" s="19">
        <f>IF('امتیاز دهی خبرگان'!$L31=0,0,IF('امتیاز دهی خبرگان'!$L31=1,'طیف فازی'!$D$2,IF('امتیاز دهی خبرگان'!$L31=2,'طیف فازی'!$D$3,IF('امتیاز دهی خبرگان'!$L31=3,'طیف فازی'!$D$4,IF('امتیاز دهی خبرگان'!$L31=4,'طیف فازی'!$D$5,'طیف فازی'!$D$6)))))</f>
        <v>1</v>
      </c>
      <c r="AG31" s="17">
        <f>IF('امتیاز دهی خبرگان'!$M31=0,0,IF('امتیاز دهی خبرگان'!$M31=1,'طیف فازی'!$B$2,IF('امتیاز دهی خبرگان'!$M31=2,'طیف فازی'!$B$3,IF('امتیاز دهی خبرگان'!$M31=3,'طیف فازی'!$B$4,IF('امتیاز دهی خبرگان'!$M31=4,'طیف فازی'!$B$5,'طیف فازی'!$B$6)))))</f>
        <v>0.5</v>
      </c>
      <c r="AH31" s="18">
        <f>IF('امتیاز دهی خبرگان'!$M31=0,0,IF('امتیاز دهی خبرگان'!$M31=1,'طیف فازی'!$C$2,IF('امتیاز دهی خبرگان'!$M31=2,'طیف فازی'!$C$3,IF('امتیاز دهی خبرگان'!$M31=3,'طیف فازی'!$C$4,IF('امتیاز دهی خبرگان'!$M31=4,'طیف فازی'!$C$5,'طیف فازی'!$C$6)))))</f>
        <v>0.75</v>
      </c>
      <c r="AI31" s="19">
        <f>IF('امتیاز دهی خبرگان'!$M31=0,0,IF('امتیاز دهی خبرگان'!$M31=1,'طیف فازی'!$D$2,IF('امتیاز دهی خبرگان'!$M31=2,'طیف فازی'!$D$3,IF('امتیاز دهی خبرگان'!$M31=3,'طیف فازی'!$D$4,IF('امتیاز دهی خبرگان'!$M31=4,'طیف فازی'!$D$5,'طیف فازی'!$D$6)))))</f>
        <v>1</v>
      </c>
      <c r="AJ31" s="17">
        <f>IF('امتیاز دهی خبرگان'!$N31=0,0,IF('امتیاز دهی خبرگان'!$N31=1,'طیف فازی'!$B$2,IF('امتیاز دهی خبرگان'!$N31=2,'طیف فازی'!$B$3,IF('امتیاز دهی خبرگان'!$N31=3,'طیف فازی'!$B$4,IF('امتیاز دهی خبرگان'!$N31=4,'طیف فازی'!$B$5,'طیف فازی'!$B$6)))))</f>
        <v>0.75</v>
      </c>
      <c r="AK31" s="18">
        <f>IF('امتیاز دهی خبرگان'!$N31=0,0,IF('امتیاز دهی خبرگان'!$N31=1,'طیف فازی'!$C$2,IF('امتیاز دهی خبرگان'!$N31=2,'طیف فازی'!$C$3,IF('امتیاز دهی خبرگان'!$N31=3,'طیف فازی'!$C$4,IF('امتیاز دهی خبرگان'!$N31=4,'طیف فازی'!$C$5,'طیف فازی'!$C$6)))))</f>
        <v>1</v>
      </c>
      <c r="AL31" s="19">
        <f>IF('امتیاز دهی خبرگان'!$N31=0,0,IF('امتیاز دهی خبرگان'!$N31=1,'طیف فازی'!$D$2,IF('امتیاز دهی خبرگان'!$N31=2,'طیف فازی'!$D$3,IF('امتیاز دهی خبرگان'!$N31=3,'طیف فازی'!$D$4,IF('امتیاز دهی خبرگان'!$N31=4,'طیف فازی'!$D$5,'طیف فازی'!$D$6)))))</f>
        <v>1</v>
      </c>
      <c r="AM31" s="23">
        <f t="shared" si="1"/>
        <v>6.25</v>
      </c>
      <c r="AN31" s="23">
        <f t="shared" si="2"/>
        <v>9.25</v>
      </c>
      <c r="AO31" s="24">
        <f t="shared" si="3"/>
        <v>10.75</v>
      </c>
      <c r="AP31" s="25">
        <f t="shared" si="4"/>
        <v>0.52083333333333337</v>
      </c>
      <c r="AQ31" s="23">
        <f t="shared" si="5"/>
        <v>0.77083333333333337</v>
      </c>
      <c r="AR31" s="24">
        <f t="shared" si="6"/>
        <v>0.89583333333333337</v>
      </c>
      <c r="AS31" s="24">
        <f t="shared" si="7"/>
        <v>0.72916666666666663</v>
      </c>
      <c r="AT31" s="24" t="str">
        <f t="shared" si="8"/>
        <v>Pass</v>
      </c>
    </row>
    <row r="32" spans="2:46" ht="23.25" customHeight="1" thickBot="1" x14ac:dyDescent="0.85">
      <c r="B32" s="2">
        <v>30</v>
      </c>
      <c r="C32" s="17">
        <f>IF('امتیاز دهی خبرگان'!$C32=0,0,IF('امتیاز دهی خبرگان'!$C32=1,'طیف فازی'!$B$2,IF('امتیاز دهی خبرگان'!$C32=2,'طیف فازی'!$B$3,IF('امتیاز دهی خبرگان'!$C32=3,'طیف فازی'!$B$4,IF('امتیاز دهی خبرگان'!$C32=4,'طیف فازی'!$B$5,'طیف فازی'!$B$6)))))</f>
        <v>0.75</v>
      </c>
      <c r="D32" s="18">
        <f>IF('امتیاز دهی خبرگان'!$C32=0,0,IF('امتیاز دهی خبرگان'!$C32=1,'طیف فازی'!$C$2,IF('امتیاز دهی خبرگان'!$C32=2,'طیف فازی'!$C$3,IF('امتیاز دهی خبرگان'!$C32=3,'طیف فازی'!$C$4,IF('امتیاز دهی خبرگان'!$C32=4,'طیف فازی'!$C$5,'طیف فازی'!$C$6)))))</f>
        <v>1</v>
      </c>
      <c r="E32" s="19">
        <f>IF('امتیاز دهی خبرگان'!$C32=0,0,IF('امتیاز دهی خبرگان'!$C32=1,'طیف فازی'!$D$2,IF('امتیاز دهی خبرگان'!$C32=2,'طیف فازی'!$D$3,IF('امتیاز دهی خبرگان'!$C32=3,'طیف فازی'!$D$4,IF('امتیاز دهی خبرگان'!$C32=4,'طیف فازی'!$D$5,'طیف فازی'!$D$6)))))</f>
        <v>1</v>
      </c>
      <c r="F32" s="20">
        <f>IF('امتیاز دهی خبرگان'!$D32=0,0,IF('امتیاز دهی خبرگان'!$D32=1,'طیف فازی'!$B$2,IF('امتیاز دهی خبرگان'!$D32=2,'طیف فازی'!$B$3,IF('امتیاز دهی خبرگان'!$D32=3,'طیف فازی'!$B$4,IF('امتیاز دهی خبرگان'!$D32=4,'طیف فازی'!$B$5,'طیف فازی'!$B$6)))))</f>
        <v>0.25</v>
      </c>
      <c r="G32" s="21">
        <f>IF('امتیاز دهی خبرگان'!$D32=0,0,IF('امتیاز دهی خبرگان'!$D32=1,'طیف فازی'!$D$2,IF('امتیاز دهی خبرگان'!$D32=2,'طیف فازی'!$C$3,IF('امتیاز دهی خبرگان'!$D32=3,'طیف فازی'!$C$4,IF('امتیاز دهی خبرگان'!$D32=4,'طیف فازی'!$C$5,'طیف فازی'!$C$6)))))</f>
        <v>0.5</v>
      </c>
      <c r="H32" s="22">
        <f>IF('امتیاز دهی خبرگان'!$D32=0,0,IF('امتیاز دهی خبرگان'!$D32=1,'طیف فازی'!$D$2,IF('امتیاز دهی خبرگان'!$D32=2,'طیف فازی'!$D$3,IF('امتیاز دهی خبرگان'!$D32=3,'طیف فازی'!$D$4,IF('امتیاز دهی خبرگان'!$D32=4,'طیف فازی'!$D$5,'طیف فازی'!$D$6)))))</f>
        <v>0.75</v>
      </c>
      <c r="I32" s="17">
        <f>IF('امتیاز دهی خبرگان'!$E32=0,0,IF('امتیاز دهی خبرگان'!$E32=1,'طیف فازی'!$B$2,IF('امتیاز دهی خبرگان'!$E32=2,'طیف فازی'!$B$3,IF('امتیاز دهی خبرگان'!$E32=3,'طیف فازی'!$B$4,IF('امتیاز دهی خبرگان'!$E32=4,'طیف فازی'!$B$5,'طیف فازی'!$B$6)))))</f>
        <v>0.75</v>
      </c>
      <c r="J32" s="18">
        <f>IF('امتیاز دهی خبرگان'!$E32=0,0,IF('امتیاز دهی خبرگان'!$E32=1,'طیف فازی'!$C$2,IF('امتیاز دهی خبرگان'!$E32=2,'طیف فازی'!$C$3,IF('امتیاز دهی خبرگان'!$E32=3,'طیف فازی'!$C$4,IF('امتیاز دهی خبرگان'!$E32=4,'طیف فازی'!$C$5,'طیف فازی'!$C$6)))))</f>
        <v>1</v>
      </c>
      <c r="K32" s="19">
        <f>IF('امتیاز دهی خبرگان'!$E32=0,0,IF('امتیاز دهی خبرگان'!$E32=1,'طیف فازی'!$D$2,IF('امتیاز دهی خبرگان'!$E32=2,'طیف فازی'!$D$3,IF('امتیاز دهی خبرگان'!$E32=3,'طیف فازی'!$D$4,IF('امتیاز دهی خبرگان'!$E32=4,'طیف فازی'!$D$5,'طیف فازی'!$D$6)))))</f>
        <v>1</v>
      </c>
      <c r="L32" s="17">
        <f>IF('امتیاز دهی خبرگان'!$F32=0,0,IF('امتیاز دهی خبرگان'!$F32=1,'طیف فازی'!$B$2,IF('امتیاز دهی خبرگان'!$F32=2,'طیف فازی'!$B$3,IF('امتیاز دهی خبرگان'!$F32=3,'طیف فازی'!$B$4,IF('امتیاز دهی خبرگان'!$F32=4,'طیف فازی'!$B$5,'طیف فازی'!$B$6)))))</f>
        <v>0</v>
      </c>
      <c r="M32" s="18">
        <f>IF('امتیاز دهی خبرگان'!$F32=0,0,IF('امتیاز دهی خبرگان'!$F32=1,'طیف فازی'!$C$2,IF('امتیاز دهی خبرگان'!$F32=2,'طیف فازی'!$C$3,IF('امتیاز دهی خبرگان'!$F32=3,'طیف فازی'!$C$4,IF('امتیاز دهی خبرگان'!$F32=4,'طیف فازی'!$C$5,'طیف فازی'!$C$6)))))</f>
        <v>0</v>
      </c>
      <c r="N32" s="19">
        <f>IF('امتیاز دهی خبرگان'!$F32=0,0,IF('امتیاز دهی خبرگان'!$F32=1,'طیف فازی'!$D$2,IF('امتیاز دهی خبرگان'!$F32=2,'طیف فازی'!$D$3,IF('امتیاز دهی خبرگان'!$F32=3,'طیف فازی'!$D$4,IF('امتیاز دهی خبرگان'!$F32=4,'طیف فازی'!$D$5,'طیف فازی'!$D$6)))))</f>
        <v>0.25</v>
      </c>
      <c r="O32" s="17">
        <f>IF('امتیاز دهی خبرگان'!$G32=0,0,IF('امتیاز دهی خبرگان'!$G32=1,'طیف فازی'!$B$2,IF('امتیاز دهی خبرگان'!$G32=2,'طیف فازی'!$B$3,IF('امتیاز دهی خبرگان'!$G32=3,'طیف فازی'!$B$4,IF('امتیاز دهی خبرگان'!$G32=4,'طیف فازی'!$B$5,'طیف فازی'!$B$6)))))</f>
        <v>0.25</v>
      </c>
      <c r="P32" s="18">
        <f>IF('امتیاز دهی خبرگان'!$G32=0,0,IF('امتیاز دهی خبرگان'!$G32=1,'طیف فازی'!$C$2,IF('امتیاز دهی خبرگان'!$G32=2,'طیف فازی'!$C$3,IF('امتیاز دهی خبرگان'!$G32=3,'طیف فازی'!$C$4,IF('امتیاز دهی خبرگان'!$G32=4,'طیف فازی'!$C$5,'طیف فازی'!$C$6)))))</f>
        <v>0.5</v>
      </c>
      <c r="Q32" s="19">
        <f>IF('امتیاز دهی خبرگان'!$G32=0,0,IF('امتیاز دهی خبرگان'!$G32=1,'طیف فازی'!$D$2,IF('امتیاز دهی خبرگان'!$G32=2,'طیف فازی'!$D$3,IF('امتیاز دهی خبرگان'!$G32=3,'طیف فازی'!$D$4,IF('امتیاز دهی خبرگان'!$G32=4,'طیف فازی'!$D$5,'طیف فازی'!$D$6)))))</f>
        <v>0.75</v>
      </c>
      <c r="R32" s="17">
        <f>IF('امتیاز دهی خبرگان'!$H32=0,0,IF('امتیاز دهی خبرگان'!$H32=1,'طیف فازی'!$B$2,IF('امتیاز دهی خبرگان'!$H32=2,'طیف فازی'!$B$3,IF('امتیاز دهی خبرگان'!$H32=3,'طیف فازی'!$B$4,IF('امتیاز دهی خبرگان'!$H32=4,'طیف فازی'!$B$5,'طیف فازی'!$B$6)))))</f>
        <v>0.5</v>
      </c>
      <c r="S32" s="18">
        <f>IF('امتیاز دهی خبرگان'!$H32=0,0,IF('امتیاز دهی خبرگان'!$H32=1,'طیف فازی'!$C$2,IF('امتیاز دهی خبرگان'!$H32=2,'طیف فازی'!$C$3,IF('امتیاز دهی خبرگان'!$H32=3,'طیف فازی'!$C$4,IF('امتیاز دهی خبرگان'!$H32=4,'طیف فازی'!$C$5,'طیف فازی'!$C$6)))))</f>
        <v>0.75</v>
      </c>
      <c r="T32" s="19">
        <f>IF('امتیاز دهی خبرگان'!$H32=0,0,IF('امتیاز دهی خبرگان'!$H32=1,'طیف فازی'!$D$2,IF('امتیاز دهی خبرگان'!$H32=2,'طیف فازی'!$D$3,IF('امتیاز دهی خبرگان'!$H32=3,'طیف فازی'!$D$4,IF('امتیاز دهی خبرگان'!$H32=4,'طیف فازی'!$D$5,'طیف فازی'!$D$6)))))</f>
        <v>1</v>
      </c>
      <c r="U32" s="17">
        <f>IF('امتیاز دهی خبرگان'!$I32=0,0,IF('امتیاز دهی خبرگان'!$I32=1,'طیف فازی'!$B$2,IF('امتیاز دهی خبرگان'!$I32=2,'طیف فازی'!$B$3,IF('امتیاز دهی خبرگان'!$I32=3,'طیف فازی'!$B$4,IF('امتیاز دهی خبرگان'!$I32=4,'طیف فازی'!$B$5,'طیف فازی'!$B$6)))))</f>
        <v>0.25</v>
      </c>
      <c r="V32" s="18">
        <f>IF('امتیاز دهی خبرگان'!$I32=0,0,IF('امتیاز دهی خبرگان'!$I32=1,'طیف فازی'!$C$2,IF('امتیاز دهی خبرگان'!$I32=2,'طیف فازی'!$C$3,IF('امتیاز دهی خبرگان'!$I32=3,'طیف فازی'!$C$4,IF('امتیاز دهی خبرگان'!$I32=4,'طیف فازی'!$C$5,'طیف فازی'!$C$6)))))</f>
        <v>0.5</v>
      </c>
      <c r="W32" s="19">
        <f>IF('امتیاز دهی خبرگان'!$I32=0,0,IF('امتیاز دهی خبرگان'!$I32=1,'طیف فازی'!$D$2,IF('امتیاز دهی خبرگان'!$I32=2,'طیف فازی'!$D$3,IF('امتیاز دهی خبرگان'!$I32=3,'طیف فازی'!$D$4,IF('امتیاز دهی خبرگان'!$I32=4,'طیف فازی'!$D$5,'طیف فازی'!$D$6)))))</f>
        <v>0.75</v>
      </c>
      <c r="X32" s="17">
        <f>IF('امتیاز دهی خبرگان'!$J32=0,0,IF('امتیاز دهی خبرگان'!$J32=1,'طیف فازی'!$B$2,IF('امتیاز دهی خبرگان'!$J32=2,'طیف فازی'!$B$3,IF('امتیاز دهی خبرگان'!$J32=3,'طیف فازی'!$B$4,IF('امتیاز دهی خبرگان'!$J32=4,'طیف فازی'!$B$5,'طیف فازی'!$B$6)))))</f>
        <v>0.25</v>
      </c>
      <c r="Y32" s="18">
        <f>IF('امتیاز دهی خبرگان'!$J32=0,0,IF('امتیاز دهی خبرگان'!$J32=1,'طیف فازی'!$C$2,IF('امتیاز دهی خبرگان'!$J32=2,'طیف فازی'!$C$3,IF('امتیاز دهی خبرگان'!$J32=3,'طیف فازی'!$C$4,IF('امتیاز دهی خبرگان'!$J32=4,'طیف فازی'!$C$5,'طیف فازی'!$C$6)))))</f>
        <v>0.5</v>
      </c>
      <c r="Z32" s="19">
        <f>IF('امتیاز دهی خبرگان'!$J32=0,0,IF('امتیاز دهی خبرگان'!$J32=1,'طیف فازی'!$D$2,IF('امتیاز دهی خبرگان'!$J32=2,'طیف فازی'!$D$3,IF('امتیاز دهی خبرگان'!$J32=3,'طیف فازی'!$D$4,IF('امتیاز دهی خبرگان'!$J32=4,'طیف فازی'!$D$5,'طیف فازی'!$D$6)))))</f>
        <v>0.75</v>
      </c>
      <c r="AA32" s="17">
        <f>IF('امتیاز دهی خبرگان'!$K32=0,0,IF('امتیاز دهی خبرگان'!$K32=1,'طیف فازی'!$B$2,IF('امتیاز دهی خبرگان'!$K32=2,'طیف فازی'!$B$3,IF('امتیاز دهی خبرگان'!$K32=3,'طیف فازی'!$B$4,IF('امتیاز دهی خبرگان'!$K32=4,'طیف فازی'!$B$5,'طیف فازی'!$B$6)))))</f>
        <v>0</v>
      </c>
      <c r="AB32" s="18">
        <f>IF('امتیاز دهی خبرگان'!$K32=0,0,IF('امتیاز دهی خبرگان'!$K32=1,'طیف فازی'!$C$2,IF('امتیاز دهی خبرگان'!$K32=2,'طیف فازی'!$C$3,IF('امتیاز دهی خبرگان'!$K32=3,'طیف فازی'!$C$4,IF('امتیاز دهی خبرگان'!$K32=4,'طیف فازی'!$C$5,'طیف فازی'!$C$6)))))</f>
        <v>0.25</v>
      </c>
      <c r="AC32" s="19">
        <f>IF('امتیاز دهی خبرگان'!$K32=0,0,IF('امتیاز دهی خبرگان'!$K32=1,'طیف فازی'!$D$2,IF('امتیاز دهی خبرگان'!$K32=2,'طیف فازی'!$D$3,IF('امتیاز دهی خبرگان'!$K32=3,'طیف فازی'!$D$4,IF('امتیاز دهی خبرگان'!$K32=4,'طیف فازی'!$D$5,'طیف فازی'!$D$6)))))</f>
        <v>0.5</v>
      </c>
      <c r="AD32" s="17">
        <f>IF('امتیاز دهی خبرگان'!$L32=0,0,IF('امتیاز دهی خبرگان'!$L32=1,'طیف فازی'!$B$2,IF('امتیاز دهی خبرگان'!$L32=2,'طیف فازی'!$B$3,IF('امتیاز دهی خبرگان'!$L32=3,'طیف فازی'!$B$4,IF('امتیاز دهی خبرگان'!$L32=4,'طیف فازی'!$B$5,'طیف فازی'!$B$6)))))</f>
        <v>0</v>
      </c>
      <c r="AE32" s="18">
        <f>IF('امتیاز دهی خبرگان'!$L32=0,0,IF('امتیاز دهی خبرگان'!$L32=1,'طیف فازی'!$C$2,IF('امتیاز دهی خبرگان'!$L32=2,'طیف فازی'!$C$3,IF('امتیاز دهی خبرگان'!$L32=3,'طیف فازی'!$C$4,IF('امتیاز دهی خبرگان'!$L32=4,'طیف فازی'!$C$5,'طیف فازی'!$C$6)))))</f>
        <v>0.25</v>
      </c>
      <c r="AF32" s="19">
        <f>IF('امتیاز دهی خبرگان'!$L32=0,0,IF('امتیاز دهی خبرگان'!$L32=1,'طیف فازی'!$D$2,IF('امتیاز دهی خبرگان'!$L32=2,'طیف فازی'!$D$3,IF('امتیاز دهی خبرگان'!$L32=3,'طیف فازی'!$D$4,IF('امتیاز دهی خبرگان'!$L32=4,'طیف فازی'!$D$5,'طیف فازی'!$D$6)))))</f>
        <v>0.5</v>
      </c>
      <c r="AG32" s="17">
        <f>IF('امتیاز دهی خبرگان'!$M32=0,0,IF('امتیاز دهی خبرگان'!$M32=1,'طیف فازی'!$B$2,IF('امتیاز دهی خبرگان'!$M32=2,'طیف فازی'!$B$3,IF('امتیاز دهی خبرگان'!$M32=3,'طیف فازی'!$B$4,IF('امتیاز دهی خبرگان'!$M32=4,'طیف فازی'!$B$5,'طیف فازی'!$B$6)))))</f>
        <v>0.5</v>
      </c>
      <c r="AH32" s="18">
        <f>IF('امتیاز دهی خبرگان'!$M32=0,0,IF('امتیاز دهی خبرگان'!$M32=1,'طیف فازی'!$C$2,IF('امتیاز دهی خبرگان'!$M32=2,'طیف فازی'!$C$3,IF('امتیاز دهی خبرگان'!$M32=3,'طیف فازی'!$C$4,IF('امتیاز دهی خبرگان'!$M32=4,'طیف فازی'!$C$5,'طیف فازی'!$C$6)))))</f>
        <v>0.75</v>
      </c>
      <c r="AI32" s="19">
        <f>IF('امتیاز دهی خبرگان'!$M32=0,0,IF('امتیاز دهی خبرگان'!$M32=1,'طیف فازی'!$D$2,IF('امتیاز دهی خبرگان'!$M32=2,'طیف فازی'!$D$3,IF('امتیاز دهی خبرگان'!$M32=3,'طیف فازی'!$D$4,IF('امتیاز دهی خبرگان'!$M32=4,'طیف فازی'!$D$5,'طیف فازی'!$D$6)))))</f>
        <v>1</v>
      </c>
      <c r="AJ32" s="17">
        <f>IF('امتیاز دهی خبرگان'!$N32=0,0,IF('امتیاز دهی خبرگان'!$N32=1,'طیف فازی'!$B$2,IF('امتیاز دهی خبرگان'!$N32=2,'طیف فازی'!$B$3,IF('امتیاز دهی خبرگان'!$N32=3,'طیف فازی'!$B$4,IF('امتیاز دهی خبرگان'!$N32=4,'طیف فازی'!$B$5,'طیف فازی'!$B$6)))))</f>
        <v>0.5</v>
      </c>
      <c r="AK32" s="18">
        <f>IF('امتیاز دهی خبرگان'!$N32=0,0,IF('امتیاز دهی خبرگان'!$N32=1,'طیف فازی'!$C$2,IF('امتیاز دهی خبرگان'!$N32=2,'طیف فازی'!$C$3,IF('امتیاز دهی خبرگان'!$N32=3,'طیف فازی'!$C$4,IF('امتیاز دهی خبرگان'!$N32=4,'طیف فازی'!$C$5,'طیف فازی'!$C$6)))))</f>
        <v>0.75</v>
      </c>
      <c r="AL32" s="19">
        <f>IF('امتیاز دهی خبرگان'!$N32=0,0,IF('امتیاز دهی خبرگان'!$N32=1,'طیف فازی'!$D$2,IF('امتیاز دهی خبرگان'!$N32=2,'طیف فازی'!$D$3,IF('امتیاز دهی خبرگان'!$N32=3,'طیف فازی'!$D$4,IF('امتیاز دهی خبرگان'!$N32=4,'طیف فازی'!$D$5,'طیف فازی'!$D$6)))))</f>
        <v>1</v>
      </c>
      <c r="AM32" s="23">
        <f t="shared" si="1"/>
        <v>4</v>
      </c>
      <c r="AN32" s="23">
        <f t="shared" si="2"/>
        <v>6.75</v>
      </c>
      <c r="AO32" s="24">
        <f t="shared" si="3"/>
        <v>9.25</v>
      </c>
      <c r="AP32" s="25">
        <f t="shared" si="4"/>
        <v>0.33333333333333331</v>
      </c>
      <c r="AQ32" s="23">
        <f t="shared" si="5"/>
        <v>0.5625</v>
      </c>
      <c r="AR32" s="24">
        <f t="shared" si="6"/>
        <v>0.77083333333333337</v>
      </c>
      <c r="AS32" s="24">
        <f t="shared" si="7"/>
        <v>0.55555555555555547</v>
      </c>
      <c r="AT32" s="24" t="str">
        <f t="shared" si="8"/>
        <v>Not Pass</v>
      </c>
    </row>
    <row r="33" spans="2:46" ht="23.25" customHeight="1" thickBot="1" x14ac:dyDescent="0.85">
      <c r="B33" s="2">
        <v>31</v>
      </c>
      <c r="C33" s="17">
        <f>IF('امتیاز دهی خبرگان'!$C33=0,0,IF('امتیاز دهی خبرگان'!$C33=1,'طیف فازی'!$B$2,IF('امتیاز دهی خبرگان'!$C33=2,'طیف فازی'!$B$3,IF('امتیاز دهی خبرگان'!$C33=3,'طیف فازی'!$B$4,IF('امتیاز دهی خبرگان'!$C33=4,'طیف فازی'!$B$5,'طیف فازی'!$B$6)))))</f>
        <v>0.75</v>
      </c>
      <c r="D33" s="18">
        <f>IF('امتیاز دهی خبرگان'!$C33=0,0,IF('امتیاز دهی خبرگان'!$C33=1,'طیف فازی'!$C$2,IF('امتیاز دهی خبرگان'!$C33=2,'طیف فازی'!$C$3,IF('امتیاز دهی خبرگان'!$C33=3,'طیف فازی'!$C$4,IF('امتیاز دهی خبرگان'!$C33=4,'طیف فازی'!$C$5,'طیف فازی'!$C$6)))))</f>
        <v>1</v>
      </c>
      <c r="E33" s="19">
        <f>IF('امتیاز دهی خبرگان'!$C33=0,0,IF('امتیاز دهی خبرگان'!$C33=1,'طیف فازی'!$D$2,IF('امتیاز دهی خبرگان'!$C33=2,'طیف فازی'!$D$3,IF('امتیاز دهی خبرگان'!$C33=3,'طیف فازی'!$D$4,IF('امتیاز دهی خبرگان'!$C33=4,'طیف فازی'!$D$5,'طیف فازی'!$D$6)))))</f>
        <v>1</v>
      </c>
      <c r="F33" s="20">
        <f>IF('امتیاز دهی خبرگان'!$D33=0,0,IF('امتیاز دهی خبرگان'!$D33=1,'طیف فازی'!$B$2,IF('امتیاز دهی خبرگان'!$D33=2,'طیف فازی'!$B$3,IF('امتیاز دهی خبرگان'!$D33=3,'طیف فازی'!$B$4,IF('امتیاز دهی خبرگان'!$D33=4,'طیف فازی'!$B$5,'طیف فازی'!$B$6)))))</f>
        <v>0.25</v>
      </c>
      <c r="G33" s="21">
        <f>IF('امتیاز دهی خبرگان'!$D33=0,0,IF('امتیاز دهی خبرگان'!$D33=1,'طیف فازی'!$D$2,IF('امتیاز دهی خبرگان'!$D33=2,'طیف فازی'!$C$3,IF('امتیاز دهی خبرگان'!$D33=3,'طیف فازی'!$C$4,IF('امتیاز دهی خبرگان'!$D33=4,'طیف فازی'!$C$5,'طیف فازی'!$C$6)))))</f>
        <v>0.5</v>
      </c>
      <c r="H33" s="22">
        <f>IF('امتیاز دهی خبرگان'!$D33=0,0,IF('امتیاز دهی خبرگان'!$D33=1,'طیف فازی'!$D$2,IF('امتیاز دهی خبرگان'!$D33=2,'طیف فازی'!$D$3,IF('امتیاز دهی خبرگان'!$D33=3,'طیف فازی'!$D$4,IF('امتیاز دهی خبرگان'!$D33=4,'طیف فازی'!$D$5,'طیف فازی'!$D$6)))))</f>
        <v>0.75</v>
      </c>
      <c r="I33" s="17">
        <f>IF('امتیاز دهی خبرگان'!$E33=0,0,IF('امتیاز دهی خبرگان'!$E33=1,'طیف فازی'!$B$2,IF('امتیاز دهی خبرگان'!$E33=2,'طیف فازی'!$B$3,IF('امتیاز دهی خبرگان'!$E33=3,'طیف فازی'!$B$4,IF('امتیاز دهی خبرگان'!$E33=4,'طیف فازی'!$B$5,'طیف فازی'!$B$6)))))</f>
        <v>0.75</v>
      </c>
      <c r="J33" s="18">
        <f>IF('امتیاز دهی خبرگان'!$E33=0,0,IF('امتیاز دهی خبرگان'!$E33=1,'طیف فازی'!$C$2,IF('امتیاز دهی خبرگان'!$E33=2,'طیف فازی'!$C$3,IF('امتیاز دهی خبرگان'!$E33=3,'طیف فازی'!$C$4,IF('امتیاز دهی خبرگان'!$E33=4,'طیف فازی'!$C$5,'طیف فازی'!$C$6)))))</f>
        <v>1</v>
      </c>
      <c r="K33" s="19">
        <f>IF('امتیاز دهی خبرگان'!$E33=0,0,IF('امتیاز دهی خبرگان'!$E33=1,'طیف فازی'!$D$2,IF('امتیاز دهی خبرگان'!$E33=2,'طیف فازی'!$D$3,IF('امتیاز دهی خبرگان'!$E33=3,'طیف فازی'!$D$4,IF('امتیاز دهی خبرگان'!$E33=4,'طیف فازی'!$D$5,'طیف فازی'!$D$6)))))</f>
        <v>1</v>
      </c>
      <c r="L33" s="17">
        <f>IF('امتیاز دهی خبرگان'!$F33=0,0,IF('امتیاز دهی خبرگان'!$F33=1,'طیف فازی'!$B$2,IF('امتیاز دهی خبرگان'!$F33=2,'طیف فازی'!$B$3,IF('امتیاز دهی خبرگان'!$F33=3,'طیف فازی'!$B$4,IF('امتیاز دهی خبرگان'!$F33=4,'طیف فازی'!$B$5,'طیف فازی'!$B$6)))))</f>
        <v>0</v>
      </c>
      <c r="M33" s="18">
        <f>IF('امتیاز دهی خبرگان'!$F33=0,0,IF('امتیاز دهی خبرگان'!$F33=1,'طیف فازی'!$C$2,IF('امتیاز دهی خبرگان'!$F33=2,'طیف فازی'!$C$3,IF('امتیاز دهی خبرگان'!$F33=3,'طیف فازی'!$C$4,IF('امتیاز دهی خبرگان'!$F33=4,'طیف فازی'!$C$5,'طیف فازی'!$C$6)))))</f>
        <v>0</v>
      </c>
      <c r="N33" s="19">
        <f>IF('امتیاز دهی خبرگان'!$F33=0,0,IF('امتیاز دهی خبرگان'!$F33=1,'طیف فازی'!$D$2,IF('امتیاز دهی خبرگان'!$F33=2,'طیف فازی'!$D$3,IF('امتیاز دهی خبرگان'!$F33=3,'طیف فازی'!$D$4,IF('امتیاز دهی خبرگان'!$F33=4,'طیف فازی'!$D$5,'طیف فازی'!$D$6)))))</f>
        <v>0.25</v>
      </c>
      <c r="O33" s="17">
        <f>IF('امتیاز دهی خبرگان'!$G33=0,0,IF('امتیاز دهی خبرگان'!$G33=1,'طیف فازی'!$B$2,IF('امتیاز دهی خبرگان'!$G33=2,'طیف فازی'!$B$3,IF('امتیاز دهی خبرگان'!$G33=3,'طیف فازی'!$B$4,IF('امتیاز دهی خبرگان'!$G33=4,'طیف فازی'!$B$5,'طیف فازی'!$B$6)))))</f>
        <v>0.25</v>
      </c>
      <c r="P33" s="18">
        <f>IF('امتیاز دهی خبرگان'!$G33=0,0,IF('امتیاز دهی خبرگان'!$G33=1,'طیف فازی'!$C$2,IF('امتیاز دهی خبرگان'!$G33=2,'طیف فازی'!$C$3,IF('امتیاز دهی خبرگان'!$G33=3,'طیف فازی'!$C$4,IF('امتیاز دهی خبرگان'!$G33=4,'طیف فازی'!$C$5,'طیف فازی'!$C$6)))))</f>
        <v>0.5</v>
      </c>
      <c r="Q33" s="19">
        <f>IF('امتیاز دهی خبرگان'!$G33=0,0,IF('امتیاز دهی خبرگان'!$G33=1,'طیف فازی'!$D$2,IF('امتیاز دهی خبرگان'!$G33=2,'طیف فازی'!$D$3,IF('امتیاز دهی خبرگان'!$G33=3,'طیف فازی'!$D$4,IF('امتیاز دهی خبرگان'!$G33=4,'طیف فازی'!$D$5,'طیف فازی'!$D$6)))))</f>
        <v>0.75</v>
      </c>
      <c r="R33" s="17">
        <f>IF('امتیاز دهی خبرگان'!$H33=0,0,IF('امتیاز دهی خبرگان'!$H33=1,'طیف فازی'!$B$2,IF('امتیاز دهی خبرگان'!$H33=2,'طیف فازی'!$B$3,IF('امتیاز دهی خبرگان'!$H33=3,'طیف فازی'!$B$4,IF('امتیاز دهی خبرگان'!$H33=4,'طیف فازی'!$B$5,'طیف فازی'!$B$6)))))</f>
        <v>0.25</v>
      </c>
      <c r="S33" s="18">
        <f>IF('امتیاز دهی خبرگان'!$H33=0,0,IF('امتیاز دهی خبرگان'!$H33=1,'طیف فازی'!$C$2,IF('امتیاز دهی خبرگان'!$H33=2,'طیف فازی'!$C$3,IF('امتیاز دهی خبرگان'!$H33=3,'طیف فازی'!$C$4,IF('امتیاز دهی خبرگان'!$H33=4,'طیف فازی'!$C$5,'طیف فازی'!$C$6)))))</f>
        <v>0.5</v>
      </c>
      <c r="T33" s="19">
        <f>IF('امتیاز دهی خبرگان'!$H33=0,0,IF('امتیاز دهی خبرگان'!$H33=1,'طیف فازی'!$D$2,IF('امتیاز دهی خبرگان'!$H33=2,'طیف فازی'!$D$3,IF('امتیاز دهی خبرگان'!$H33=3,'طیف فازی'!$D$4,IF('امتیاز دهی خبرگان'!$H33=4,'طیف فازی'!$D$5,'طیف فازی'!$D$6)))))</f>
        <v>0.75</v>
      </c>
      <c r="U33" s="17">
        <f>IF('امتیاز دهی خبرگان'!$I33=0,0,IF('امتیاز دهی خبرگان'!$I33=1,'طیف فازی'!$B$2,IF('امتیاز دهی خبرگان'!$I33=2,'طیف فازی'!$B$3,IF('امتیاز دهی خبرگان'!$I33=3,'طیف فازی'!$B$4,IF('امتیاز دهی خبرگان'!$I33=4,'طیف فازی'!$B$5,'طیف فازی'!$B$6)))))</f>
        <v>0.75</v>
      </c>
      <c r="V33" s="18">
        <f>IF('امتیاز دهی خبرگان'!$I33=0,0,IF('امتیاز دهی خبرگان'!$I33=1,'طیف فازی'!$C$2,IF('امتیاز دهی خبرگان'!$I33=2,'طیف فازی'!$C$3,IF('امتیاز دهی خبرگان'!$I33=3,'طیف فازی'!$C$4,IF('امتیاز دهی خبرگان'!$I33=4,'طیف فازی'!$C$5,'طیف فازی'!$C$6)))))</f>
        <v>1</v>
      </c>
      <c r="W33" s="19">
        <f>IF('امتیاز دهی خبرگان'!$I33=0,0,IF('امتیاز دهی خبرگان'!$I33=1,'طیف فازی'!$D$2,IF('امتیاز دهی خبرگان'!$I33=2,'طیف فازی'!$D$3,IF('امتیاز دهی خبرگان'!$I33=3,'طیف فازی'!$D$4,IF('امتیاز دهی خبرگان'!$I33=4,'طیف فازی'!$D$5,'طیف فازی'!$D$6)))))</f>
        <v>1</v>
      </c>
      <c r="X33" s="17">
        <f>IF('امتیاز دهی خبرگان'!$J33=0,0,IF('امتیاز دهی خبرگان'!$J33=1,'طیف فازی'!$B$2,IF('امتیاز دهی خبرگان'!$J33=2,'طیف فازی'!$B$3,IF('امتیاز دهی خبرگان'!$J33=3,'طیف فازی'!$B$4,IF('امتیاز دهی خبرگان'!$J33=4,'طیف فازی'!$B$5,'طیف فازی'!$B$6)))))</f>
        <v>0.5</v>
      </c>
      <c r="Y33" s="18">
        <f>IF('امتیاز دهی خبرگان'!$J33=0,0,IF('امتیاز دهی خبرگان'!$J33=1,'طیف فازی'!$C$2,IF('امتیاز دهی خبرگان'!$J33=2,'طیف فازی'!$C$3,IF('امتیاز دهی خبرگان'!$J33=3,'طیف فازی'!$C$4,IF('امتیاز دهی خبرگان'!$J33=4,'طیف فازی'!$C$5,'طیف فازی'!$C$6)))))</f>
        <v>0.75</v>
      </c>
      <c r="Z33" s="19">
        <f>IF('امتیاز دهی خبرگان'!$J33=0,0,IF('امتیاز دهی خبرگان'!$J33=1,'طیف فازی'!$D$2,IF('امتیاز دهی خبرگان'!$J33=2,'طیف فازی'!$D$3,IF('امتیاز دهی خبرگان'!$J33=3,'طیف فازی'!$D$4,IF('امتیاز دهی خبرگان'!$J33=4,'طیف فازی'!$D$5,'طیف فازی'!$D$6)))))</f>
        <v>1</v>
      </c>
      <c r="AA33" s="17">
        <f>IF('امتیاز دهی خبرگان'!$K33=0,0,IF('امتیاز دهی خبرگان'!$K33=1,'طیف فازی'!$B$2,IF('امتیاز دهی خبرگان'!$K33=2,'طیف فازی'!$B$3,IF('امتیاز دهی خبرگان'!$K33=3,'طیف فازی'!$B$4,IF('امتیاز دهی خبرگان'!$K33=4,'طیف فازی'!$B$5,'طیف فازی'!$B$6)))))</f>
        <v>0.75</v>
      </c>
      <c r="AB33" s="18">
        <f>IF('امتیاز دهی خبرگان'!$K33=0,0,IF('امتیاز دهی خبرگان'!$K33=1,'طیف فازی'!$C$2,IF('امتیاز دهی خبرگان'!$K33=2,'طیف فازی'!$C$3,IF('امتیاز دهی خبرگان'!$K33=3,'طیف فازی'!$C$4,IF('امتیاز دهی خبرگان'!$K33=4,'طیف فازی'!$C$5,'طیف فازی'!$C$6)))))</f>
        <v>1</v>
      </c>
      <c r="AC33" s="19">
        <f>IF('امتیاز دهی خبرگان'!$K33=0,0,IF('امتیاز دهی خبرگان'!$K33=1,'طیف فازی'!$D$2,IF('امتیاز دهی خبرگان'!$K33=2,'طیف فازی'!$D$3,IF('امتیاز دهی خبرگان'!$K33=3,'طیف فازی'!$D$4,IF('امتیاز دهی خبرگان'!$K33=4,'طیف فازی'!$D$5,'طیف فازی'!$D$6)))))</f>
        <v>1</v>
      </c>
      <c r="AD33" s="17">
        <f>IF('امتیاز دهی خبرگان'!$L33=0,0,IF('امتیاز دهی خبرگان'!$L33=1,'طیف فازی'!$B$2,IF('امتیاز دهی خبرگان'!$L33=2,'طیف فازی'!$B$3,IF('امتیاز دهی خبرگان'!$L33=3,'طیف فازی'!$B$4,IF('امتیاز دهی خبرگان'!$L33=4,'طیف فازی'!$B$5,'طیف فازی'!$B$6)))))</f>
        <v>0.75</v>
      </c>
      <c r="AE33" s="18">
        <f>IF('امتیاز دهی خبرگان'!$L33=0,0,IF('امتیاز دهی خبرگان'!$L33=1,'طیف فازی'!$C$2,IF('امتیاز دهی خبرگان'!$L33=2,'طیف فازی'!$C$3,IF('امتیاز دهی خبرگان'!$L33=3,'طیف فازی'!$C$4,IF('امتیاز دهی خبرگان'!$L33=4,'طیف فازی'!$C$5,'طیف فازی'!$C$6)))))</f>
        <v>1</v>
      </c>
      <c r="AF33" s="19">
        <f>IF('امتیاز دهی خبرگان'!$L33=0,0,IF('امتیاز دهی خبرگان'!$L33=1,'طیف فازی'!$D$2,IF('امتیاز دهی خبرگان'!$L33=2,'طیف فازی'!$D$3,IF('امتیاز دهی خبرگان'!$L33=3,'طیف فازی'!$D$4,IF('امتیاز دهی خبرگان'!$L33=4,'طیف فازی'!$D$5,'طیف فازی'!$D$6)))))</f>
        <v>1</v>
      </c>
      <c r="AG33" s="17">
        <f>IF('امتیاز دهی خبرگان'!$M33=0,0,IF('امتیاز دهی خبرگان'!$M33=1,'طیف فازی'!$B$2,IF('امتیاز دهی خبرگان'!$M33=2,'طیف فازی'!$B$3,IF('امتیاز دهی خبرگان'!$M33=3,'طیف فازی'!$B$4,IF('امتیاز دهی خبرگان'!$M33=4,'طیف فازی'!$B$5,'طیف فازی'!$B$6)))))</f>
        <v>0.75</v>
      </c>
      <c r="AH33" s="18">
        <f>IF('امتیاز دهی خبرگان'!$M33=0,0,IF('امتیاز دهی خبرگان'!$M33=1,'طیف فازی'!$C$2,IF('امتیاز دهی خبرگان'!$M33=2,'طیف فازی'!$C$3,IF('امتیاز دهی خبرگان'!$M33=3,'طیف فازی'!$C$4,IF('امتیاز دهی خبرگان'!$M33=4,'طیف فازی'!$C$5,'طیف فازی'!$C$6)))))</f>
        <v>1</v>
      </c>
      <c r="AI33" s="19">
        <f>IF('امتیاز دهی خبرگان'!$M33=0,0,IF('امتیاز دهی خبرگان'!$M33=1,'طیف فازی'!$D$2,IF('امتیاز دهی خبرگان'!$M33=2,'طیف فازی'!$D$3,IF('امتیاز دهی خبرگان'!$M33=3,'طیف فازی'!$D$4,IF('امتیاز دهی خبرگان'!$M33=4,'طیف فازی'!$D$5,'طیف فازی'!$D$6)))))</f>
        <v>1</v>
      </c>
      <c r="AJ33" s="17">
        <f>IF('امتیاز دهی خبرگان'!$N33=0,0,IF('امتیاز دهی خبرگان'!$N33=1,'طیف فازی'!$B$2,IF('امتیاز دهی خبرگان'!$N33=2,'طیف فازی'!$B$3,IF('امتیاز دهی خبرگان'!$N33=3,'طیف فازی'!$B$4,IF('امتیاز دهی خبرگان'!$N33=4,'طیف فازی'!$B$5,'طیف فازی'!$B$6)))))</f>
        <v>0.75</v>
      </c>
      <c r="AK33" s="18">
        <f>IF('امتیاز دهی خبرگان'!$N33=0,0,IF('امتیاز دهی خبرگان'!$N33=1,'طیف فازی'!$C$2,IF('امتیاز دهی خبرگان'!$N33=2,'طیف فازی'!$C$3,IF('امتیاز دهی خبرگان'!$N33=3,'طیف فازی'!$C$4,IF('امتیاز دهی خبرگان'!$N33=4,'طیف فازی'!$C$5,'طیف فازی'!$C$6)))))</f>
        <v>1</v>
      </c>
      <c r="AL33" s="19">
        <f>IF('امتیاز دهی خبرگان'!$N33=0,0,IF('امتیاز دهی خبرگان'!$N33=1,'طیف فازی'!$D$2,IF('امتیاز دهی خبرگان'!$N33=2,'طیف فازی'!$D$3,IF('امتیاز دهی خبرگان'!$N33=3,'طیف فازی'!$D$4,IF('امتیاز دهی خبرگان'!$N33=4,'طیف فازی'!$D$5,'طیف فازی'!$D$6)))))</f>
        <v>1</v>
      </c>
      <c r="AM33" s="23">
        <f t="shared" si="1"/>
        <v>6.5</v>
      </c>
      <c r="AN33" s="23">
        <f t="shared" si="2"/>
        <v>9.25</v>
      </c>
      <c r="AO33" s="24">
        <f t="shared" si="3"/>
        <v>10.5</v>
      </c>
      <c r="AP33" s="25">
        <f t="shared" si="4"/>
        <v>0.54166666666666663</v>
      </c>
      <c r="AQ33" s="23">
        <f t="shared" si="5"/>
        <v>0.77083333333333337</v>
      </c>
      <c r="AR33" s="24">
        <f t="shared" si="6"/>
        <v>0.875</v>
      </c>
      <c r="AS33" s="24">
        <f t="shared" si="7"/>
        <v>0.72916666666666663</v>
      </c>
      <c r="AT33" s="24" t="str">
        <f t="shared" si="8"/>
        <v>Pass</v>
      </c>
    </row>
    <row r="34" spans="2:46" ht="23.25" customHeight="1" thickBot="1" x14ac:dyDescent="0.85">
      <c r="B34" s="2">
        <v>32</v>
      </c>
      <c r="C34" s="17">
        <f>IF('امتیاز دهی خبرگان'!$C34=0,0,IF('امتیاز دهی خبرگان'!$C34=1,'طیف فازی'!$B$2,IF('امتیاز دهی خبرگان'!$C34=2,'طیف فازی'!$B$3,IF('امتیاز دهی خبرگان'!$C34=3,'طیف فازی'!$B$4,IF('امتیاز دهی خبرگان'!$C34=4,'طیف فازی'!$B$5,'طیف فازی'!$B$6)))))</f>
        <v>0.75</v>
      </c>
      <c r="D34" s="18">
        <f>IF('امتیاز دهی خبرگان'!$C34=0,0,IF('امتیاز دهی خبرگان'!$C34=1,'طیف فازی'!$C$2,IF('امتیاز دهی خبرگان'!$C34=2,'طیف فازی'!$C$3,IF('امتیاز دهی خبرگان'!$C34=3,'طیف فازی'!$C$4,IF('امتیاز دهی خبرگان'!$C34=4,'طیف فازی'!$C$5,'طیف فازی'!$C$6)))))</f>
        <v>1</v>
      </c>
      <c r="E34" s="19">
        <f>IF('امتیاز دهی خبرگان'!$C34=0,0,IF('امتیاز دهی خبرگان'!$C34=1,'طیف فازی'!$D$2,IF('امتیاز دهی خبرگان'!$C34=2,'طیف فازی'!$D$3,IF('امتیاز دهی خبرگان'!$C34=3,'طیف فازی'!$D$4,IF('امتیاز دهی خبرگان'!$C34=4,'طیف فازی'!$D$5,'طیف فازی'!$D$6)))))</f>
        <v>1</v>
      </c>
      <c r="F34" s="20">
        <f>IF('امتیاز دهی خبرگان'!$D34=0,0,IF('امتیاز دهی خبرگان'!$D34=1,'طیف فازی'!$B$2,IF('امتیاز دهی خبرگان'!$D34=2,'طیف فازی'!$B$3,IF('امتیاز دهی خبرگان'!$D34=3,'طیف فازی'!$B$4,IF('امتیاز دهی خبرگان'!$D34=4,'طیف فازی'!$B$5,'طیف فازی'!$B$6)))))</f>
        <v>0.25</v>
      </c>
      <c r="G34" s="21">
        <f>IF('امتیاز دهی خبرگان'!$D34=0,0,IF('امتیاز دهی خبرگان'!$D34=1,'طیف فازی'!$D$2,IF('امتیاز دهی خبرگان'!$D34=2,'طیف فازی'!$C$3,IF('امتیاز دهی خبرگان'!$D34=3,'طیف فازی'!$C$4,IF('امتیاز دهی خبرگان'!$D34=4,'طیف فازی'!$C$5,'طیف فازی'!$C$6)))))</f>
        <v>0.5</v>
      </c>
      <c r="H34" s="22">
        <f>IF('امتیاز دهی خبرگان'!$D34=0,0,IF('امتیاز دهی خبرگان'!$D34=1,'طیف فازی'!$D$2,IF('امتیاز دهی خبرگان'!$D34=2,'طیف فازی'!$D$3,IF('امتیاز دهی خبرگان'!$D34=3,'طیف فازی'!$D$4,IF('امتیاز دهی خبرگان'!$D34=4,'طیف فازی'!$D$5,'طیف فازی'!$D$6)))))</f>
        <v>0.75</v>
      </c>
      <c r="I34" s="17">
        <f>IF('امتیاز دهی خبرگان'!$E34=0,0,IF('امتیاز دهی خبرگان'!$E34=1,'طیف فازی'!$B$2,IF('امتیاز دهی خبرگان'!$E34=2,'طیف فازی'!$B$3,IF('امتیاز دهی خبرگان'!$E34=3,'طیف فازی'!$B$4,IF('امتیاز دهی خبرگان'!$E34=4,'طیف فازی'!$B$5,'طیف فازی'!$B$6)))))</f>
        <v>0.5</v>
      </c>
      <c r="J34" s="18">
        <f>IF('امتیاز دهی خبرگان'!$E34=0,0,IF('امتیاز دهی خبرگان'!$E34=1,'طیف فازی'!$C$2,IF('امتیاز دهی خبرگان'!$E34=2,'طیف فازی'!$C$3,IF('امتیاز دهی خبرگان'!$E34=3,'طیف فازی'!$C$4,IF('امتیاز دهی خبرگان'!$E34=4,'طیف فازی'!$C$5,'طیف فازی'!$C$6)))))</f>
        <v>0.75</v>
      </c>
      <c r="K34" s="19">
        <f>IF('امتیاز دهی خبرگان'!$E34=0,0,IF('امتیاز دهی خبرگان'!$E34=1,'طیف فازی'!$D$2,IF('امتیاز دهی خبرگان'!$E34=2,'طیف فازی'!$D$3,IF('امتیاز دهی خبرگان'!$E34=3,'طیف فازی'!$D$4,IF('امتیاز دهی خبرگان'!$E34=4,'طیف فازی'!$D$5,'طیف فازی'!$D$6)))))</f>
        <v>1</v>
      </c>
      <c r="L34" s="17">
        <f>IF('امتیاز دهی خبرگان'!$F34=0,0,IF('امتیاز دهی خبرگان'!$F34=1,'طیف فازی'!$B$2,IF('امتیاز دهی خبرگان'!$F34=2,'طیف فازی'!$B$3,IF('امتیاز دهی خبرگان'!$F34=3,'طیف فازی'!$B$4,IF('امتیاز دهی خبرگان'!$F34=4,'طیف فازی'!$B$5,'طیف فازی'!$B$6)))))</f>
        <v>0.25</v>
      </c>
      <c r="M34" s="18">
        <f>IF('امتیاز دهی خبرگان'!$F34=0,0,IF('امتیاز دهی خبرگان'!$F34=1,'طیف فازی'!$C$2,IF('امتیاز دهی خبرگان'!$F34=2,'طیف فازی'!$C$3,IF('امتیاز دهی خبرگان'!$F34=3,'طیف فازی'!$C$4,IF('امتیاز دهی خبرگان'!$F34=4,'طیف فازی'!$C$5,'طیف فازی'!$C$6)))))</f>
        <v>0.5</v>
      </c>
      <c r="N34" s="19">
        <f>IF('امتیاز دهی خبرگان'!$F34=0,0,IF('امتیاز دهی خبرگان'!$F34=1,'طیف فازی'!$D$2,IF('امتیاز دهی خبرگان'!$F34=2,'طیف فازی'!$D$3,IF('امتیاز دهی خبرگان'!$F34=3,'طیف فازی'!$D$4,IF('امتیاز دهی خبرگان'!$F34=4,'طیف فازی'!$D$5,'طیف فازی'!$D$6)))))</f>
        <v>0.75</v>
      </c>
      <c r="O34" s="17">
        <f>IF('امتیاز دهی خبرگان'!$G34=0,0,IF('امتیاز دهی خبرگان'!$G34=1,'طیف فازی'!$B$2,IF('امتیاز دهی خبرگان'!$G34=2,'طیف فازی'!$B$3,IF('امتیاز دهی خبرگان'!$G34=3,'طیف فازی'!$B$4,IF('امتیاز دهی خبرگان'!$G34=4,'طیف فازی'!$B$5,'طیف فازی'!$B$6)))))</f>
        <v>0.25</v>
      </c>
      <c r="P34" s="18">
        <f>IF('امتیاز دهی خبرگان'!$G34=0,0,IF('امتیاز دهی خبرگان'!$G34=1,'طیف فازی'!$C$2,IF('امتیاز دهی خبرگان'!$G34=2,'طیف فازی'!$C$3,IF('امتیاز دهی خبرگان'!$G34=3,'طیف فازی'!$C$4,IF('امتیاز دهی خبرگان'!$G34=4,'طیف فازی'!$C$5,'طیف فازی'!$C$6)))))</f>
        <v>0.5</v>
      </c>
      <c r="Q34" s="19">
        <f>IF('امتیاز دهی خبرگان'!$G34=0,0,IF('امتیاز دهی خبرگان'!$G34=1,'طیف فازی'!$D$2,IF('امتیاز دهی خبرگان'!$G34=2,'طیف فازی'!$D$3,IF('امتیاز دهی خبرگان'!$G34=3,'طیف فازی'!$D$4,IF('امتیاز دهی خبرگان'!$G34=4,'طیف فازی'!$D$5,'طیف فازی'!$D$6)))))</f>
        <v>0.75</v>
      </c>
      <c r="R34" s="17">
        <f>IF('امتیاز دهی خبرگان'!$H34=0,0,IF('امتیاز دهی خبرگان'!$H34=1,'طیف فازی'!$B$2,IF('امتیاز دهی خبرگان'!$H34=2,'طیف فازی'!$B$3,IF('امتیاز دهی خبرگان'!$H34=3,'طیف فازی'!$B$4,IF('امتیاز دهی خبرگان'!$H34=4,'طیف فازی'!$B$5,'طیف فازی'!$B$6)))))</f>
        <v>0.5</v>
      </c>
      <c r="S34" s="18">
        <f>IF('امتیاز دهی خبرگان'!$H34=0,0,IF('امتیاز دهی خبرگان'!$H34=1,'طیف فازی'!$C$2,IF('امتیاز دهی خبرگان'!$H34=2,'طیف فازی'!$C$3,IF('امتیاز دهی خبرگان'!$H34=3,'طیف فازی'!$C$4,IF('امتیاز دهی خبرگان'!$H34=4,'طیف فازی'!$C$5,'طیف فازی'!$C$6)))))</f>
        <v>0.75</v>
      </c>
      <c r="T34" s="19">
        <f>IF('امتیاز دهی خبرگان'!$H34=0,0,IF('امتیاز دهی خبرگان'!$H34=1,'طیف فازی'!$D$2,IF('امتیاز دهی خبرگان'!$H34=2,'طیف فازی'!$D$3,IF('امتیاز دهی خبرگان'!$H34=3,'طیف فازی'!$D$4,IF('امتیاز دهی خبرگان'!$H34=4,'طیف فازی'!$D$5,'طیف فازی'!$D$6)))))</f>
        <v>1</v>
      </c>
      <c r="U34" s="17">
        <f>IF('امتیاز دهی خبرگان'!$I34=0,0,IF('امتیاز دهی خبرگان'!$I34=1,'طیف فازی'!$B$2,IF('امتیاز دهی خبرگان'!$I34=2,'طیف فازی'!$B$3,IF('امتیاز دهی خبرگان'!$I34=3,'طیف فازی'!$B$4,IF('امتیاز دهی خبرگان'!$I34=4,'طیف فازی'!$B$5,'طیف فازی'!$B$6)))))</f>
        <v>0.75</v>
      </c>
      <c r="V34" s="18">
        <f>IF('امتیاز دهی خبرگان'!$I34=0,0,IF('امتیاز دهی خبرگان'!$I34=1,'طیف فازی'!$C$2,IF('امتیاز دهی خبرگان'!$I34=2,'طیف فازی'!$C$3,IF('امتیاز دهی خبرگان'!$I34=3,'طیف فازی'!$C$4,IF('امتیاز دهی خبرگان'!$I34=4,'طیف فازی'!$C$5,'طیف فازی'!$C$6)))))</f>
        <v>1</v>
      </c>
      <c r="W34" s="19">
        <f>IF('امتیاز دهی خبرگان'!$I34=0,0,IF('امتیاز دهی خبرگان'!$I34=1,'طیف فازی'!$D$2,IF('امتیاز دهی خبرگان'!$I34=2,'طیف فازی'!$D$3,IF('امتیاز دهی خبرگان'!$I34=3,'طیف فازی'!$D$4,IF('امتیاز دهی خبرگان'!$I34=4,'طیف فازی'!$D$5,'طیف فازی'!$D$6)))))</f>
        <v>1</v>
      </c>
      <c r="X34" s="17">
        <f>IF('امتیاز دهی خبرگان'!$J34=0,0,IF('امتیاز دهی خبرگان'!$J34=1,'طیف فازی'!$B$2,IF('امتیاز دهی خبرگان'!$J34=2,'طیف فازی'!$B$3,IF('امتیاز دهی خبرگان'!$J34=3,'طیف فازی'!$B$4,IF('امتیاز دهی خبرگان'!$J34=4,'طیف فازی'!$B$5,'طیف فازی'!$B$6)))))</f>
        <v>0.75</v>
      </c>
      <c r="Y34" s="18">
        <f>IF('امتیاز دهی خبرگان'!$J34=0,0,IF('امتیاز دهی خبرگان'!$J34=1,'طیف فازی'!$C$2,IF('امتیاز دهی خبرگان'!$J34=2,'طیف فازی'!$C$3,IF('امتیاز دهی خبرگان'!$J34=3,'طیف فازی'!$C$4,IF('امتیاز دهی خبرگان'!$J34=4,'طیف فازی'!$C$5,'طیف فازی'!$C$6)))))</f>
        <v>1</v>
      </c>
      <c r="Z34" s="19">
        <f>IF('امتیاز دهی خبرگان'!$J34=0,0,IF('امتیاز دهی خبرگان'!$J34=1,'طیف فازی'!$D$2,IF('امتیاز دهی خبرگان'!$J34=2,'طیف فازی'!$D$3,IF('امتیاز دهی خبرگان'!$J34=3,'طیف فازی'!$D$4,IF('امتیاز دهی خبرگان'!$J34=4,'طیف فازی'!$D$5,'طیف فازی'!$D$6)))))</f>
        <v>1</v>
      </c>
      <c r="AA34" s="17">
        <f>IF('امتیاز دهی خبرگان'!$K34=0,0,IF('امتیاز دهی خبرگان'!$K34=1,'طیف فازی'!$B$2,IF('امتیاز دهی خبرگان'!$K34=2,'طیف فازی'!$B$3,IF('امتیاز دهی خبرگان'!$K34=3,'طیف فازی'!$B$4,IF('امتیاز دهی خبرگان'!$K34=4,'طیف فازی'!$B$5,'طیف فازی'!$B$6)))))</f>
        <v>0.75</v>
      </c>
      <c r="AB34" s="18">
        <f>IF('امتیاز دهی خبرگان'!$K34=0,0,IF('امتیاز دهی خبرگان'!$K34=1,'طیف فازی'!$C$2,IF('امتیاز دهی خبرگان'!$K34=2,'طیف فازی'!$C$3,IF('امتیاز دهی خبرگان'!$K34=3,'طیف فازی'!$C$4,IF('امتیاز دهی خبرگان'!$K34=4,'طیف فازی'!$C$5,'طیف فازی'!$C$6)))))</f>
        <v>1</v>
      </c>
      <c r="AC34" s="19">
        <f>IF('امتیاز دهی خبرگان'!$K34=0,0,IF('امتیاز دهی خبرگان'!$K34=1,'طیف فازی'!$D$2,IF('امتیاز دهی خبرگان'!$K34=2,'طیف فازی'!$D$3,IF('امتیاز دهی خبرگان'!$K34=3,'طیف فازی'!$D$4,IF('امتیاز دهی خبرگان'!$K34=4,'طیف فازی'!$D$5,'طیف فازی'!$D$6)))))</f>
        <v>1</v>
      </c>
      <c r="AD34" s="17">
        <f>IF('امتیاز دهی خبرگان'!$L34=0,0,IF('امتیاز دهی خبرگان'!$L34=1,'طیف فازی'!$B$2,IF('امتیاز دهی خبرگان'!$L34=2,'طیف فازی'!$B$3,IF('امتیاز دهی خبرگان'!$L34=3,'طیف فازی'!$B$4,IF('امتیاز دهی خبرگان'!$L34=4,'طیف فازی'!$B$5,'طیف فازی'!$B$6)))))</f>
        <v>0.75</v>
      </c>
      <c r="AE34" s="18">
        <f>IF('امتیاز دهی خبرگان'!$L34=0,0,IF('امتیاز دهی خبرگان'!$L34=1,'طیف فازی'!$C$2,IF('امتیاز دهی خبرگان'!$L34=2,'طیف فازی'!$C$3,IF('امتیاز دهی خبرگان'!$L34=3,'طیف فازی'!$C$4,IF('امتیاز دهی خبرگان'!$L34=4,'طیف فازی'!$C$5,'طیف فازی'!$C$6)))))</f>
        <v>1</v>
      </c>
      <c r="AF34" s="19">
        <f>IF('امتیاز دهی خبرگان'!$L34=0,0,IF('امتیاز دهی خبرگان'!$L34=1,'طیف فازی'!$D$2,IF('امتیاز دهی خبرگان'!$L34=2,'طیف فازی'!$D$3,IF('امتیاز دهی خبرگان'!$L34=3,'طیف فازی'!$D$4,IF('امتیاز دهی خبرگان'!$L34=4,'طیف فازی'!$D$5,'طیف فازی'!$D$6)))))</f>
        <v>1</v>
      </c>
      <c r="AG34" s="17">
        <f>IF('امتیاز دهی خبرگان'!$M34=0,0,IF('امتیاز دهی خبرگان'!$M34=1,'طیف فازی'!$B$2,IF('امتیاز دهی خبرگان'!$M34=2,'طیف فازی'!$B$3,IF('امتیاز دهی خبرگان'!$M34=3,'طیف فازی'!$B$4,IF('امتیاز دهی خبرگان'!$M34=4,'طیف فازی'!$B$5,'طیف فازی'!$B$6)))))</f>
        <v>0.75</v>
      </c>
      <c r="AH34" s="18">
        <f>IF('امتیاز دهی خبرگان'!$M34=0,0,IF('امتیاز دهی خبرگان'!$M34=1,'طیف فازی'!$C$2,IF('امتیاز دهی خبرگان'!$M34=2,'طیف فازی'!$C$3,IF('امتیاز دهی خبرگان'!$M34=3,'طیف فازی'!$C$4,IF('امتیاز دهی خبرگان'!$M34=4,'طیف فازی'!$C$5,'طیف فازی'!$C$6)))))</f>
        <v>1</v>
      </c>
      <c r="AI34" s="19">
        <f>IF('امتیاز دهی خبرگان'!$M34=0,0,IF('امتیاز دهی خبرگان'!$M34=1,'طیف فازی'!$D$2,IF('امتیاز دهی خبرگان'!$M34=2,'طیف فازی'!$D$3,IF('امتیاز دهی خبرگان'!$M34=3,'طیف فازی'!$D$4,IF('امتیاز دهی خبرگان'!$M34=4,'طیف فازی'!$D$5,'طیف فازی'!$D$6)))))</f>
        <v>1</v>
      </c>
      <c r="AJ34" s="17">
        <f>IF('امتیاز دهی خبرگان'!$N34=0,0,IF('امتیاز دهی خبرگان'!$N34=1,'طیف فازی'!$B$2,IF('امتیاز دهی خبرگان'!$N34=2,'طیف فازی'!$B$3,IF('امتیاز دهی خبرگان'!$N34=3,'طیف فازی'!$B$4,IF('امتیاز دهی خبرگان'!$N34=4,'طیف فازی'!$B$5,'طیف فازی'!$B$6)))))</f>
        <v>0.75</v>
      </c>
      <c r="AK34" s="18">
        <f>IF('امتیاز دهی خبرگان'!$N34=0,0,IF('امتیاز دهی خبرگان'!$N34=1,'طیف فازی'!$C$2,IF('امتیاز دهی خبرگان'!$N34=2,'طیف فازی'!$C$3,IF('امتیاز دهی خبرگان'!$N34=3,'طیف فازی'!$C$4,IF('امتیاز دهی خبرگان'!$N34=4,'طیف فازی'!$C$5,'طیف فازی'!$C$6)))))</f>
        <v>1</v>
      </c>
      <c r="AL34" s="19">
        <f>IF('امتیاز دهی خبرگان'!$N34=0,0,IF('امتیاز دهی خبرگان'!$N34=1,'طیف فازی'!$D$2,IF('امتیاز دهی خبرگان'!$N34=2,'طیف فازی'!$D$3,IF('امتیاز دهی خبرگان'!$N34=3,'طیف فازی'!$D$4,IF('امتیاز دهی خبرگان'!$N34=4,'طیف فازی'!$D$5,'طیف فازی'!$D$6)))))</f>
        <v>1</v>
      </c>
      <c r="AM34" s="23">
        <f t="shared" si="1"/>
        <v>7</v>
      </c>
      <c r="AN34" s="23">
        <f t="shared" si="2"/>
        <v>10</v>
      </c>
      <c r="AO34" s="24">
        <f t="shared" si="3"/>
        <v>11.25</v>
      </c>
      <c r="AP34" s="25">
        <f t="shared" si="4"/>
        <v>0.58333333333333337</v>
      </c>
      <c r="AQ34" s="23">
        <f t="shared" si="5"/>
        <v>0.83333333333333337</v>
      </c>
      <c r="AR34" s="24">
        <f t="shared" si="6"/>
        <v>0.9375</v>
      </c>
      <c r="AS34" s="24">
        <f t="shared" si="7"/>
        <v>0.78472222222222232</v>
      </c>
      <c r="AT34" s="24" t="str">
        <f t="shared" si="8"/>
        <v>Pass</v>
      </c>
    </row>
    <row r="35" spans="2:46" ht="23.25" customHeight="1" thickBot="1" x14ac:dyDescent="0.85">
      <c r="B35" s="2">
        <v>33</v>
      </c>
      <c r="C35" s="17">
        <f>IF('امتیاز دهی خبرگان'!$C35=0,0,IF('امتیاز دهی خبرگان'!$C35=1,'طیف فازی'!$B$2,IF('امتیاز دهی خبرگان'!$C35=2,'طیف فازی'!$B$3,IF('امتیاز دهی خبرگان'!$C35=3,'طیف فازی'!$B$4,IF('امتیاز دهی خبرگان'!$C35=4,'طیف فازی'!$B$5,'طیف فازی'!$B$6)))))</f>
        <v>0.5</v>
      </c>
      <c r="D35" s="18">
        <f>IF('امتیاز دهی خبرگان'!$C35=0,0,IF('امتیاز دهی خبرگان'!$C35=1,'طیف فازی'!$C$2,IF('امتیاز دهی خبرگان'!$C35=2,'طیف فازی'!$C$3,IF('امتیاز دهی خبرگان'!$C35=3,'طیف فازی'!$C$4,IF('امتیاز دهی خبرگان'!$C35=4,'طیف فازی'!$C$5,'طیف فازی'!$C$6)))))</f>
        <v>0.75</v>
      </c>
      <c r="E35" s="19">
        <f>IF('امتیاز دهی خبرگان'!$C35=0,0,IF('امتیاز دهی خبرگان'!$C35=1,'طیف فازی'!$D$2,IF('امتیاز دهی خبرگان'!$C35=2,'طیف فازی'!$D$3,IF('امتیاز دهی خبرگان'!$C35=3,'طیف فازی'!$D$4,IF('امتیاز دهی خبرگان'!$C35=4,'طیف فازی'!$D$5,'طیف فازی'!$D$6)))))</f>
        <v>1</v>
      </c>
      <c r="F35" s="20">
        <f>IF('امتیاز دهی خبرگان'!$D35=0,0,IF('امتیاز دهی خبرگان'!$D35=1,'طیف فازی'!$B$2,IF('امتیاز دهی خبرگان'!$D35=2,'طیف فازی'!$B$3,IF('امتیاز دهی خبرگان'!$D35=3,'طیف فازی'!$B$4,IF('امتیاز دهی خبرگان'!$D35=4,'طیف فازی'!$B$5,'طیف فازی'!$B$6)))))</f>
        <v>0.5</v>
      </c>
      <c r="G35" s="21">
        <f>IF('امتیاز دهی خبرگان'!$D35=0,0,IF('امتیاز دهی خبرگان'!$D35=1,'طیف فازی'!$D$2,IF('امتیاز دهی خبرگان'!$D35=2,'طیف فازی'!$C$3,IF('امتیاز دهی خبرگان'!$D35=3,'طیف فازی'!$C$4,IF('امتیاز دهی خبرگان'!$D35=4,'طیف فازی'!$C$5,'طیف فازی'!$C$6)))))</f>
        <v>0.75</v>
      </c>
      <c r="H35" s="22">
        <f>IF('امتیاز دهی خبرگان'!$D35=0,0,IF('امتیاز دهی خبرگان'!$D35=1,'طیف فازی'!$D$2,IF('امتیاز دهی خبرگان'!$D35=2,'طیف فازی'!$D$3,IF('امتیاز دهی خبرگان'!$D35=3,'طیف فازی'!$D$4,IF('امتیاز دهی خبرگان'!$D35=4,'طیف فازی'!$D$5,'طیف فازی'!$D$6)))))</f>
        <v>1</v>
      </c>
      <c r="I35" s="17">
        <f>IF('امتیاز دهی خبرگان'!$E35=0,0,IF('امتیاز دهی خبرگان'!$E35=1,'طیف فازی'!$B$2,IF('امتیاز دهی خبرگان'!$E35=2,'طیف فازی'!$B$3,IF('امتیاز دهی خبرگان'!$E35=3,'طیف فازی'!$B$4,IF('امتیاز دهی خبرگان'!$E35=4,'طیف فازی'!$B$5,'طیف فازی'!$B$6)))))</f>
        <v>0.25</v>
      </c>
      <c r="J35" s="18">
        <f>IF('امتیاز دهی خبرگان'!$E35=0,0,IF('امتیاز دهی خبرگان'!$E35=1,'طیف فازی'!$C$2,IF('امتیاز دهی خبرگان'!$E35=2,'طیف فازی'!$C$3,IF('امتیاز دهی خبرگان'!$E35=3,'طیف فازی'!$C$4,IF('امتیاز دهی خبرگان'!$E35=4,'طیف فازی'!$C$5,'طیف فازی'!$C$6)))))</f>
        <v>0.5</v>
      </c>
      <c r="K35" s="19">
        <f>IF('امتیاز دهی خبرگان'!$E35=0,0,IF('امتیاز دهی خبرگان'!$E35=1,'طیف فازی'!$D$2,IF('امتیاز دهی خبرگان'!$E35=2,'طیف فازی'!$D$3,IF('امتیاز دهی خبرگان'!$E35=3,'طیف فازی'!$D$4,IF('امتیاز دهی خبرگان'!$E35=4,'طیف فازی'!$D$5,'طیف فازی'!$D$6)))))</f>
        <v>0.75</v>
      </c>
      <c r="L35" s="17">
        <f>IF('امتیاز دهی خبرگان'!$F35=0,0,IF('امتیاز دهی خبرگان'!$F35=1,'طیف فازی'!$B$2,IF('امتیاز دهی خبرگان'!$F35=2,'طیف فازی'!$B$3,IF('امتیاز دهی خبرگان'!$F35=3,'طیف فازی'!$B$4,IF('امتیاز دهی خبرگان'!$F35=4,'طیف فازی'!$B$5,'طیف فازی'!$B$6)))))</f>
        <v>0.5</v>
      </c>
      <c r="M35" s="18">
        <f>IF('امتیاز دهی خبرگان'!$F35=0,0,IF('امتیاز دهی خبرگان'!$F35=1,'طیف فازی'!$C$2,IF('امتیاز دهی خبرگان'!$F35=2,'طیف فازی'!$C$3,IF('امتیاز دهی خبرگان'!$F35=3,'طیف فازی'!$C$4,IF('امتیاز دهی خبرگان'!$F35=4,'طیف فازی'!$C$5,'طیف فازی'!$C$6)))))</f>
        <v>0.75</v>
      </c>
      <c r="N35" s="19">
        <f>IF('امتیاز دهی خبرگان'!$F35=0,0,IF('امتیاز دهی خبرگان'!$F35=1,'طیف فازی'!$D$2,IF('امتیاز دهی خبرگان'!$F35=2,'طیف فازی'!$D$3,IF('امتیاز دهی خبرگان'!$F35=3,'طیف فازی'!$D$4,IF('امتیاز دهی خبرگان'!$F35=4,'طیف فازی'!$D$5,'طیف فازی'!$D$6)))))</f>
        <v>1</v>
      </c>
      <c r="O35" s="17">
        <f>IF('امتیاز دهی خبرگان'!$G35=0,0,IF('امتیاز دهی خبرگان'!$G35=1,'طیف فازی'!$B$2,IF('امتیاز دهی خبرگان'!$G35=2,'طیف فازی'!$B$3,IF('امتیاز دهی خبرگان'!$G35=3,'طیف فازی'!$B$4,IF('امتیاز دهی خبرگان'!$G35=4,'طیف فازی'!$B$5,'طیف فازی'!$B$6)))))</f>
        <v>0</v>
      </c>
      <c r="P35" s="18">
        <f>IF('امتیاز دهی خبرگان'!$G35=0,0,IF('امتیاز دهی خبرگان'!$G35=1,'طیف فازی'!$C$2,IF('امتیاز دهی خبرگان'!$G35=2,'طیف فازی'!$C$3,IF('امتیاز دهی خبرگان'!$G35=3,'طیف فازی'!$C$4,IF('امتیاز دهی خبرگان'!$G35=4,'طیف فازی'!$C$5,'طیف فازی'!$C$6)))))</f>
        <v>0.25</v>
      </c>
      <c r="Q35" s="19">
        <f>IF('امتیاز دهی خبرگان'!$G35=0,0,IF('امتیاز دهی خبرگان'!$G35=1,'طیف فازی'!$D$2,IF('امتیاز دهی خبرگان'!$G35=2,'طیف فازی'!$D$3,IF('امتیاز دهی خبرگان'!$G35=3,'طیف فازی'!$D$4,IF('امتیاز دهی خبرگان'!$G35=4,'طیف فازی'!$D$5,'طیف فازی'!$D$6)))))</f>
        <v>0.5</v>
      </c>
      <c r="R35" s="17">
        <f>IF('امتیاز دهی خبرگان'!$H35=0,0,IF('امتیاز دهی خبرگان'!$H35=1,'طیف فازی'!$B$2,IF('امتیاز دهی خبرگان'!$H35=2,'طیف فازی'!$B$3,IF('امتیاز دهی خبرگان'!$H35=3,'طیف فازی'!$B$4,IF('امتیاز دهی خبرگان'!$H35=4,'طیف فازی'!$B$5,'طیف فازی'!$B$6)))))</f>
        <v>0.75</v>
      </c>
      <c r="S35" s="18">
        <f>IF('امتیاز دهی خبرگان'!$H35=0,0,IF('امتیاز دهی خبرگان'!$H35=1,'طیف فازی'!$C$2,IF('امتیاز دهی خبرگان'!$H35=2,'طیف فازی'!$C$3,IF('امتیاز دهی خبرگان'!$H35=3,'طیف فازی'!$C$4,IF('امتیاز دهی خبرگان'!$H35=4,'طیف فازی'!$C$5,'طیف فازی'!$C$6)))))</f>
        <v>1</v>
      </c>
      <c r="T35" s="19">
        <f>IF('امتیاز دهی خبرگان'!$H35=0,0,IF('امتیاز دهی خبرگان'!$H35=1,'طیف فازی'!$D$2,IF('امتیاز دهی خبرگان'!$H35=2,'طیف فازی'!$D$3,IF('امتیاز دهی خبرگان'!$H35=3,'طیف فازی'!$D$4,IF('امتیاز دهی خبرگان'!$H35=4,'طیف فازی'!$D$5,'طیف فازی'!$D$6)))))</f>
        <v>1</v>
      </c>
      <c r="U35" s="17">
        <f>IF('امتیاز دهی خبرگان'!$I35=0,0,IF('امتیاز دهی خبرگان'!$I35=1,'طیف فازی'!$B$2,IF('امتیاز دهی خبرگان'!$I35=2,'طیف فازی'!$B$3,IF('امتیاز دهی خبرگان'!$I35=3,'طیف فازی'!$B$4,IF('امتیاز دهی خبرگان'!$I35=4,'طیف فازی'!$B$5,'طیف فازی'!$B$6)))))</f>
        <v>0.75</v>
      </c>
      <c r="V35" s="18">
        <f>IF('امتیاز دهی خبرگان'!$I35=0,0,IF('امتیاز دهی خبرگان'!$I35=1,'طیف فازی'!$C$2,IF('امتیاز دهی خبرگان'!$I35=2,'طیف فازی'!$C$3,IF('امتیاز دهی خبرگان'!$I35=3,'طیف فازی'!$C$4,IF('امتیاز دهی خبرگان'!$I35=4,'طیف فازی'!$C$5,'طیف فازی'!$C$6)))))</f>
        <v>1</v>
      </c>
      <c r="W35" s="19">
        <f>IF('امتیاز دهی خبرگان'!$I35=0,0,IF('امتیاز دهی خبرگان'!$I35=1,'طیف فازی'!$D$2,IF('امتیاز دهی خبرگان'!$I35=2,'طیف فازی'!$D$3,IF('امتیاز دهی خبرگان'!$I35=3,'طیف فازی'!$D$4,IF('امتیاز دهی خبرگان'!$I35=4,'طیف فازی'!$D$5,'طیف فازی'!$D$6)))))</f>
        <v>1</v>
      </c>
      <c r="X35" s="17">
        <f>IF('امتیاز دهی خبرگان'!$J35=0,0,IF('امتیاز دهی خبرگان'!$J35=1,'طیف فازی'!$B$2,IF('امتیاز دهی خبرگان'!$J35=2,'طیف فازی'!$B$3,IF('امتیاز دهی خبرگان'!$J35=3,'طیف فازی'!$B$4,IF('امتیاز دهی خبرگان'!$J35=4,'طیف فازی'!$B$5,'طیف فازی'!$B$6)))))</f>
        <v>0.75</v>
      </c>
      <c r="Y35" s="18">
        <f>IF('امتیاز دهی خبرگان'!$J35=0,0,IF('امتیاز دهی خبرگان'!$J35=1,'طیف فازی'!$C$2,IF('امتیاز دهی خبرگان'!$J35=2,'طیف فازی'!$C$3,IF('امتیاز دهی خبرگان'!$J35=3,'طیف فازی'!$C$4,IF('امتیاز دهی خبرگان'!$J35=4,'طیف فازی'!$C$5,'طیف فازی'!$C$6)))))</f>
        <v>1</v>
      </c>
      <c r="Z35" s="19">
        <f>IF('امتیاز دهی خبرگان'!$J35=0,0,IF('امتیاز دهی خبرگان'!$J35=1,'طیف فازی'!$D$2,IF('امتیاز دهی خبرگان'!$J35=2,'طیف فازی'!$D$3,IF('امتیاز دهی خبرگان'!$J35=3,'طیف فازی'!$D$4,IF('امتیاز دهی خبرگان'!$J35=4,'طیف فازی'!$D$5,'طیف فازی'!$D$6)))))</f>
        <v>1</v>
      </c>
      <c r="AA35" s="17">
        <f>IF('امتیاز دهی خبرگان'!$K35=0,0,IF('امتیاز دهی خبرگان'!$K35=1,'طیف فازی'!$B$2,IF('امتیاز دهی خبرگان'!$K35=2,'طیف فازی'!$B$3,IF('امتیاز دهی خبرگان'!$K35=3,'طیف فازی'!$B$4,IF('امتیاز دهی خبرگان'!$K35=4,'طیف فازی'!$B$5,'طیف فازی'!$B$6)))))</f>
        <v>0.75</v>
      </c>
      <c r="AB35" s="18">
        <f>IF('امتیاز دهی خبرگان'!$K35=0,0,IF('امتیاز دهی خبرگان'!$K35=1,'طیف فازی'!$C$2,IF('امتیاز دهی خبرگان'!$K35=2,'طیف فازی'!$C$3,IF('امتیاز دهی خبرگان'!$K35=3,'طیف فازی'!$C$4,IF('امتیاز دهی خبرگان'!$K35=4,'طیف فازی'!$C$5,'طیف فازی'!$C$6)))))</f>
        <v>1</v>
      </c>
      <c r="AC35" s="19">
        <f>IF('امتیاز دهی خبرگان'!$K35=0,0,IF('امتیاز دهی خبرگان'!$K35=1,'طیف فازی'!$D$2,IF('امتیاز دهی خبرگان'!$K35=2,'طیف فازی'!$D$3,IF('امتیاز دهی خبرگان'!$K35=3,'طیف فازی'!$D$4,IF('امتیاز دهی خبرگان'!$K35=4,'طیف فازی'!$D$5,'طیف فازی'!$D$6)))))</f>
        <v>1</v>
      </c>
      <c r="AD35" s="17">
        <f>IF('امتیاز دهی خبرگان'!$L35=0,0,IF('امتیاز دهی خبرگان'!$L35=1,'طیف فازی'!$B$2,IF('امتیاز دهی خبرگان'!$L35=2,'طیف فازی'!$B$3,IF('امتیاز دهی خبرگان'!$L35=3,'طیف فازی'!$B$4,IF('امتیاز دهی خبرگان'!$L35=4,'طیف فازی'!$B$5,'طیف فازی'!$B$6)))))</f>
        <v>0.75</v>
      </c>
      <c r="AE35" s="18">
        <f>IF('امتیاز دهی خبرگان'!$L35=0,0,IF('امتیاز دهی خبرگان'!$L35=1,'طیف فازی'!$C$2,IF('امتیاز دهی خبرگان'!$L35=2,'طیف فازی'!$C$3,IF('امتیاز دهی خبرگان'!$L35=3,'طیف فازی'!$C$4,IF('امتیاز دهی خبرگان'!$L35=4,'طیف فازی'!$C$5,'طیف فازی'!$C$6)))))</f>
        <v>1</v>
      </c>
      <c r="AF35" s="19">
        <f>IF('امتیاز دهی خبرگان'!$L35=0,0,IF('امتیاز دهی خبرگان'!$L35=1,'طیف فازی'!$D$2,IF('امتیاز دهی خبرگان'!$L35=2,'طیف فازی'!$D$3,IF('امتیاز دهی خبرگان'!$L35=3,'طیف فازی'!$D$4,IF('امتیاز دهی خبرگان'!$L35=4,'طیف فازی'!$D$5,'طیف فازی'!$D$6)))))</f>
        <v>1</v>
      </c>
      <c r="AG35" s="17">
        <f>IF('امتیاز دهی خبرگان'!$M35=0,0,IF('امتیاز دهی خبرگان'!$M35=1,'طیف فازی'!$B$2,IF('امتیاز دهی خبرگان'!$M35=2,'طیف فازی'!$B$3,IF('امتیاز دهی خبرگان'!$M35=3,'طیف فازی'!$B$4,IF('امتیاز دهی خبرگان'!$M35=4,'طیف فازی'!$B$5,'طیف فازی'!$B$6)))))</f>
        <v>0.5</v>
      </c>
      <c r="AH35" s="18">
        <f>IF('امتیاز دهی خبرگان'!$M35=0,0,IF('امتیاز دهی خبرگان'!$M35=1,'طیف فازی'!$C$2,IF('امتیاز دهی خبرگان'!$M35=2,'طیف فازی'!$C$3,IF('امتیاز دهی خبرگان'!$M35=3,'طیف فازی'!$C$4,IF('امتیاز دهی خبرگان'!$M35=4,'طیف فازی'!$C$5,'طیف فازی'!$C$6)))))</f>
        <v>0.75</v>
      </c>
      <c r="AI35" s="19">
        <f>IF('امتیاز دهی خبرگان'!$M35=0,0,IF('امتیاز دهی خبرگان'!$M35=1,'طیف فازی'!$D$2,IF('امتیاز دهی خبرگان'!$M35=2,'طیف فازی'!$D$3,IF('امتیاز دهی خبرگان'!$M35=3,'طیف فازی'!$D$4,IF('امتیاز دهی خبرگان'!$M35=4,'طیف فازی'!$D$5,'طیف فازی'!$D$6)))))</f>
        <v>1</v>
      </c>
      <c r="AJ35" s="17">
        <f>IF('امتیاز دهی خبرگان'!$N35=0,0,IF('امتیاز دهی خبرگان'!$N35=1,'طیف فازی'!$B$2,IF('امتیاز دهی خبرگان'!$N35=2,'طیف فازی'!$B$3,IF('امتیاز دهی خبرگان'!$N35=3,'طیف فازی'!$B$4,IF('امتیاز دهی خبرگان'!$N35=4,'طیف فازی'!$B$5,'طیف فازی'!$B$6)))))</f>
        <v>0.75</v>
      </c>
      <c r="AK35" s="18">
        <f>IF('امتیاز دهی خبرگان'!$N35=0,0,IF('امتیاز دهی خبرگان'!$N35=1,'طیف فازی'!$C$2,IF('امتیاز دهی خبرگان'!$N35=2,'طیف فازی'!$C$3,IF('امتیاز دهی خبرگان'!$N35=3,'طیف فازی'!$C$4,IF('امتیاز دهی خبرگان'!$N35=4,'طیف فازی'!$C$5,'طیف فازی'!$C$6)))))</f>
        <v>1</v>
      </c>
      <c r="AL35" s="19">
        <f>IF('امتیاز دهی خبرگان'!$N35=0,0,IF('امتیاز دهی خبرگان'!$N35=1,'طیف فازی'!$D$2,IF('امتیاز دهی خبرگان'!$N35=2,'طیف فازی'!$D$3,IF('امتیاز دهی خبرگان'!$N35=3,'طیف فازی'!$D$4,IF('امتیاز دهی خبرگان'!$N35=4,'طیف فازی'!$D$5,'طیف فازی'!$D$6)))))</f>
        <v>1</v>
      </c>
      <c r="AM35" s="23">
        <f t="shared" si="1"/>
        <v>6.75</v>
      </c>
      <c r="AN35" s="23">
        <f t="shared" si="2"/>
        <v>9.75</v>
      </c>
      <c r="AO35" s="24">
        <f t="shared" si="3"/>
        <v>11.25</v>
      </c>
      <c r="AP35" s="25">
        <f t="shared" si="4"/>
        <v>0.5625</v>
      </c>
      <c r="AQ35" s="23">
        <f t="shared" si="5"/>
        <v>0.8125</v>
      </c>
      <c r="AR35" s="24">
        <f t="shared" si="6"/>
        <v>0.9375</v>
      </c>
      <c r="AS35" s="24">
        <f t="shared" si="7"/>
        <v>0.77083333333333337</v>
      </c>
      <c r="AT35" s="24" t="str">
        <f t="shared" si="8"/>
        <v>Pass</v>
      </c>
    </row>
    <row r="36" spans="2:46" ht="23.25" customHeight="1" thickBot="1" x14ac:dyDescent="0.85">
      <c r="B36" s="2">
        <v>34</v>
      </c>
      <c r="C36" s="17">
        <f>IF('امتیاز دهی خبرگان'!$C36=0,0,IF('امتیاز دهی خبرگان'!$C36=1,'طیف فازی'!$B$2,IF('امتیاز دهی خبرگان'!$C36=2,'طیف فازی'!$B$3,IF('امتیاز دهی خبرگان'!$C36=3,'طیف فازی'!$B$4,IF('امتیاز دهی خبرگان'!$C36=4,'طیف فازی'!$B$5,'طیف فازی'!$B$6)))))</f>
        <v>0.75</v>
      </c>
      <c r="D36" s="18">
        <f>IF('امتیاز دهی خبرگان'!$C36=0,0,IF('امتیاز دهی خبرگان'!$C36=1,'طیف فازی'!$C$2,IF('امتیاز دهی خبرگان'!$C36=2,'طیف فازی'!$C$3,IF('امتیاز دهی خبرگان'!$C36=3,'طیف فازی'!$C$4,IF('امتیاز دهی خبرگان'!$C36=4,'طیف فازی'!$C$5,'طیف فازی'!$C$6)))))</f>
        <v>1</v>
      </c>
      <c r="E36" s="19">
        <f>IF('امتیاز دهی خبرگان'!$C36=0,0,IF('امتیاز دهی خبرگان'!$C36=1,'طیف فازی'!$D$2,IF('امتیاز دهی خبرگان'!$C36=2,'طیف فازی'!$D$3,IF('امتیاز دهی خبرگان'!$C36=3,'طیف فازی'!$D$4,IF('امتیاز دهی خبرگان'!$C36=4,'طیف فازی'!$D$5,'طیف فازی'!$D$6)))))</f>
        <v>1</v>
      </c>
      <c r="F36" s="20">
        <f>IF('امتیاز دهی خبرگان'!$D36=0,0,IF('امتیاز دهی خبرگان'!$D36=1,'طیف فازی'!$B$2,IF('امتیاز دهی خبرگان'!$D36=2,'طیف فازی'!$B$3,IF('امتیاز دهی خبرگان'!$D36=3,'طیف فازی'!$B$4,IF('امتیاز دهی خبرگان'!$D36=4,'طیف فازی'!$B$5,'طیف فازی'!$B$6)))))</f>
        <v>0</v>
      </c>
      <c r="G36" s="21">
        <f>IF('امتیاز دهی خبرگان'!$D36=0,0,IF('امتیاز دهی خبرگان'!$D36=1,'طیف فازی'!$D$2,IF('امتیاز دهی خبرگان'!$D36=2,'طیف فازی'!$C$3,IF('امتیاز دهی خبرگان'!$D36=3,'طیف فازی'!$C$4,IF('امتیاز دهی خبرگان'!$D36=4,'طیف فازی'!$C$5,'طیف فازی'!$C$6)))))</f>
        <v>0.25</v>
      </c>
      <c r="H36" s="22">
        <f>IF('امتیاز دهی خبرگان'!$D36=0,0,IF('امتیاز دهی خبرگان'!$D36=1,'طیف فازی'!$D$2,IF('امتیاز دهی خبرگان'!$D36=2,'طیف فازی'!$D$3,IF('امتیاز دهی خبرگان'!$D36=3,'طیف فازی'!$D$4,IF('امتیاز دهی خبرگان'!$D36=4,'طیف فازی'!$D$5,'طیف فازی'!$D$6)))))</f>
        <v>0.5</v>
      </c>
      <c r="I36" s="17">
        <f>IF('امتیاز دهی خبرگان'!$E36=0,0,IF('امتیاز دهی خبرگان'!$E36=1,'طیف فازی'!$B$2,IF('امتیاز دهی خبرگان'!$E36=2,'طیف فازی'!$B$3,IF('امتیاز دهی خبرگان'!$E36=3,'طیف فازی'!$B$4,IF('امتیاز دهی خبرگان'!$E36=4,'طیف فازی'!$B$5,'طیف فازی'!$B$6)))))</f>
        <v>0</v>
      </c>
      <c r="J36" s="18">
        <f>IF('امتیاز دهی خبرگان'!$E36=0,0,IF('امتیاز دهی خبرگان'!$E36=1,'طیف فازی'!$C$2,IF('امتیاز دهی خبرگان'!$E36=2,'طیف فازی'!$C$3,IF('امتیاز دهی خبرگان'!$E36=3,'طیف فازی'!$C$4,IF('امتیاز دهی خبرگان'!$E36=4,'طیف فازی'!$C$5,'طیف فازی'!$C$6)))))</f>
        <v>0.25</v>
      </c>
      <c r="K36" s="19">
        <f>IF('امتیاز دهی خبرگان'!$E36=0,0,IF('امتیاز دهی خبرگان'!$E36=1,'طیف فازی'!$D$2,IF('امتیاز دهی خبرگان'!$E36=2,'طیف فازی'!$D$3,IF('امتیاز دهی خبرگان'!$E36=3,'طیف فازی'!$D$4,IF('امتیاز دهی خبرگان'!$E36=4,'طیف فازی'!$D$5,'طیف فازی'!$D$6)))))</f>
        <v>0.5</v>
      </c>
      <c r="L36" s="17">
        <f>IF('امتیاز دهی خبرگان'!$F36=0,0,IF('امتیاز دهی خبرگان'!$F36=1,'طیف فازی'!$B$2,IF('امتیاز دهی خبرگان'!$F36=2,'طیف فازی'!$B$3,IF('امتیاز دهی خبرگان'!$F36=3,'طیف فازی'!$B$4,IF('امتیاز دهی خبرگان'!$F36=4,'طیف فازی'!$B$5,'طیف فازی'!$B$6)))))</f>
        <v>0.25</v>
      </c>
      <c r="M36" s="18">
        <f>IF('امتیاز دهی خبرگان'!$F36=0,0,IF('امتیاز دهی خبرگان'!$F36=1,'طیف فازی'!$C$2,IF('امتیاز دهی خبرگان'!$F36=2,'طیف فازی'!$C$3,IF('امتیاز دهی خبرگان'!$F36=3,'طیف فازی'!$C$4,IF('امتیاز دهی خبرگان'!$F36=4,'طیف فازی'!$C$5,'طیف فازی'!$C$6)))))</f>
        <v>0.5</v>
      </c>
      <c r="N36" s="19">
        <f>IF('امتیاز دهی خبرگان'!$F36=0,0,IF('امتیاز دهی خبرگان'!$F36=1,'طیف فازی'!$D$2,IF('امتیاز دهی خبرگان'!$F36=2,'طیف فازی'!$D$3,IF('امتیاز دهی خبرگان'!$F36=3,'طیف فازی'!$D$4,IF('امتیاز دهی خبرگان'!$F36=4,'طیف فازی'!$D$5,'طیف فازی'!$D$6)))))</f>
        <v>0.75</v>
      </c>
      <c r="O36" s="17">
        <f>IF('امتیاز دهی خبرگان'!$G36=0,0,IF('امتیاز دهی خبرگان'!$G36=1,'طیف فازی'!$B$2,IF('امتیاز دهی خبرگان'!$G36=2,'طیف فازی'!$B$3,IF('امتیاز دهی خبرگان'!$G36=3,'طیف فازی'!$B$4,IF('امتیاز دهی خبرگان'!$G36=4,'طیف فازی'!$B$5,'طیف فازی'!$B$6)))))</f>
        <v>0</v>
      </c>
      <c r="P36" s="18">
        <f>IF('امتیاز دهی خبرگان'!$G36=0,0,IF('امتیاز دهی خبرگان'!$G36=1,'طیف فازی'!$C$2,IF('امتیاز دهی خبرگان'!$G36=2,'طیف فازی'!$C$3,IF('امتیاز دهی خبرگان'!$G36=3,'طیف فازی'!$C$4,IF('امتیاز دهی خبرگان'!$G36=4,'طیف فازی'!$C$5,'طیف فازی'!$C$6)))))</f>
        <v>0.25</v>
      </c>
      <c r="Q36" s="19">
        <f>IF('امتیاز دهی خبرگان'!$G36=0,0,IF('امتیاز دهی خبرگان'!$G36=1,'طیف فازی'!$D$2,IF('امتیاز دهی خبرگان'!$G36=2,'طیف فازی'!$D$3,IF('امتیاز دهی خبرگان'!$G36=3,'طیف فازی'!$D$4,IF('امتیاز دهی خبرگان'!$G36=4,'طیف فازی'!$D$5,'طیف فازی'!$D$6)))))</f>
        <v>0.5</v>
      </c>
      <c r="R36" s="17">
        <f>IF('امتیاز دهی خبرگان'!$H36=0,0,IF('امتیاز دهی خبرگان'!$H36=1,'طیف فازی'!$B$2,IF('امتیاز دهی خبرگان'!$H36=2,'طیف فازی'!$B$3,IF('امتیاز دهی خبرگان'!$H36=3,'طیف فازی'!$B$4,IF('امتیاز دهی خبرگان'!$H36=4,'طیف فازی'!$B$5,'طیف فازی'!$B$6)))))</f>
        <v>0.25</v>
      </c>
      <c r="S36" s="18">
        <f>IF('امتیاز دهی خبرگان'!$H36=0,0,IF('امتیاز دهی خبرگان'!$H36=1,'طیف فازی'!$C$2,IF('امتیاز دهی خبرگان'!$H36=2,'طیف فازی'!$C$3,IF('امتیاز دهی خبرگان'!$H36=3,'طیف فازی'!$C$4,IF('امتیاز دهی خبرگان'!$H36=4,'طیف فازی'!$C$5,'طیف فازی'!$C$6)))))</f>
        <v>0.5</v>
      </c>
      <c r="T36" s="19">
        <f>IF('امتیاز دهی خبرگان'!$H36=0,0,IF('امتیاز دهی خبرگان'!$H36=1,'طیف فازی'!$D$2,IF('امتیاز دهی خبرگان'!$H36=2,'طیف فازی'!$D$3,IF('امتیاز دهی خبرگان'!$H36=3,'طیف فازی'!$D$4,IF('امتیاز دهی خبرگان'!$H36=4,'طیف فازی'!$D$5,'طیف فازی'!$D$6)))))</f>
        <v>0.75</v>
      </c>
      <c r="U36" s="17">
        <f>IF('امتیاز دهی خبرگان'!$I36=0,0,IF('امتیاز دهی خبرگان'!$I36=1,'طیف فازی'!$B$2,IF('امتیاز دهی خبرگان'!$I36=2,'طیف فازی'!$B$3,IF('امتیاز دهی خبرگان'!$I36=3,'طیف فازی'!$B$4,IF('امتیاز دهی خبرگان'!$I36=4,'طیف فازی'!$B$5,'طیف فازی'!$B$6)))))</f>
        <v>0.75</v>
      </c>
      <c r="V36" s="18">
        <f>IF('امتیاز دهی خبرگان'!$I36=0,0,IF('امتیاز دهی خبرگان'!$I36=1,'طیف فازی'!$C$2,IF('امتیاز دهی خبرگان'!$I36=2,'طیف فازی'!$C$3,IF('امتیاز دهی خبرگان'!$I36=3,'طیف فازی'!$C$4,IF('امتیاز دهی خبرگان'!$I36=4,'طیف فازی'!$C$5,'طیف فازی'!$C$6)))))</f>
        <v>1</v>
      </c>
      <c r="W36" s="19">
        <f>IF('امتیاز دهی خبرگان'!$I36=0,0,IF('امتیاز دهی خبرگان'!$I36=1,'طیف فازی'!$D$2,IF('امتیاز دهی خبرگان'!$I36=2,'طیف فازی'!$D$3,IF('امتیاز دهی خبرگان'!$I36=3,'طیف فازی'!$D$4,IF('امتیاز دهی خبرگان'!$I36=4,'طیف فازی'!$D$5,'طیف فازی'!$D$6)))))</f>
        <v>1</v>
      </c>
      <c r="X36" s="17">
        <f>IF('امتیاز دهی خبرگان'!$J36=0,0,IF('امتیاز دهی خبرگان'!$J36=1,'طیف فازی'!$B$2,IF('امتیاز دهی خبرگان'!$J36=2,'طیف فازی'!$B$3,IF('امتیاز دهی خبرگان'!$J36=3,'طیف فازی'!$B$4,IF('امتیاز دهی خبرگان'!$J36=4,'طیف فازی'!$B$5,'طیف فازی'!$B$6)))))</f>
        <v>0.5</v>
      </c>
      <c r="Y36" s="18">
        <f>IF('امتیاز دهی خبرگان'!$J36=0,0,IF('امتیاز دهی خبرگان'!$J36=1,'طیف فازی'!$C$2,IF('امتیاز دهی خبرگان'!$J36=2,'طیف فازی'!$C$3,IF('امتیاز دهی خبرگان'!$J36=3,'طیف فازی'!$C$4,IF('امتیاز دهی خبرگان'!$J36=4,'طیف فازی'!$C$5,'طیف فازی'!$C$6)))))</f>
        <v>0.75</v>
      </c>
      <c r="Z36" s="19">
        <f>IF('امتیاز دهی خبرگان'!$J36=0,0,IF('امتیاز دهی خبرگان'!$J36=1,'طیف فازی'!$D$2,IF('امتیاز دهی خبرگان'!$J36=2,'طیف فازی'!$D$3,IF('امتیاز دهی خبرگان'!$J36=3,'طیف فازی'!$D$4,IF('امتیاز دهی خبرگان'!$J36=4,'طیف فازی'!$D$5,'طیف فازی'!$D$6)))))</f>
        <v>1</v>
      </c>
      <c r="AA36" s="17">
        <f>IF('امتیاز دهی خبرگان'!$K36=0,0,IF('امتیاز دهی خبرگان'!$K36=1,'طیف فازی'!$B$2,IF('امتیاز دهی خبرگان'!$K36=2,'طیف فازی'!$B$3,IF('امتیاز دهی خبرگان'!$K36=3,'طیف فازی'!$B$4,IF('امتیاز دهی خبرگان'!$K36=4,'طیف فازی'!$B$5,'طیف فازی'!$B$6)))))</f>
        <v>0</v>
      </c>
      <c r="AB36" s="18">
        <f>IF('امتیاز دهی خبرگان'!$K36=0,0,IF('امتیاز دهی خبرگان'!$K36=1,'طیف فازی'!$C$2,IF('امتیاز دهی خبرگان'!$K36=2,'طیف فازی'!$C$3,IF('امتیاز دهی خبرگان'!$K36=3,'طیف فازی'!$C$4,IF('امتیاز دهی خبرگان'!$K36=4,'طیف فازی'!$C$5,'طیف فازی'!$C$6)))))</f>
        <v>0.25</v>
      </c>
      <c r="AC36" s="19">
        <f>IF('امتیاز دهی خبرگان'!$K36=0,0,IF('امتیاز دهی خبرگان'!$K36=1,'طیف فازی'!$D$2,IF('امتیاز دهی خبرگان'!$K36=2,'طیف فازی'!$D$3,IF('امتیاز دهی خبرگان'!$K36=3,'طیف فازی'!$D$4,IF('امتیاز دهی خبرگان'!$K36=4,'طیف فازی'!$D$5,'طیف فازی'!$D$6)))))</f>
        <v>0.5</v>
      </c>
      <c r="AD36" s="17">
        <f>IF('امتیاز دهی خبرگان'!$L36=0,0,IF('امتیاز دهی خبرگان'!$L36=1,'طیف فازی'!$B$2,IF('امتیاز دهی خبرگان'!$L36=2,'طیف فازی'!$B$3,IF('امتیاز دهی خبرگان'!$L36=3,'طیف فازی'!$B$4,IF('امتیاز دهی خبرگان'!$L36=4,'طیف فازی'!$B$5,'طیف فازی'!$B$6)))))</f>
        <v>0</v>
      </c>
      <c r="AE36" s="18">
        <f>IF('امتیاز دهی خبرگان'!$L36=0,0,IF('امتیاز دهی خبرگان'!$L36=1,'طیف فازی'!$C$2,IF('امتیاز دهی خبرگان'!$L36=2,'طیف فازی'!$C$3,IF('امتیاز دهی خبرگان'!$L36=3,'طیف فازی'!$C$4,IF('امتیاز دهی خبرگان'!$L36=4,'طیف فازی'!$C$5,'طیف فازی'!$C$6)))))</f>
        <v>0.25</v>
      </c>
      <c r="AF36" s="19">
        <f>IF('امتیاز دهی خبرگان'!$L36=0,0,IF('امتیاز دهی خبرگان'!$L36=1,'طیف فازی'!$D$2,IF('امتیاز دهی خبرگان'!$L36=2,'طیف فازی'!$D$3,IF('امتیاز دهی خبرگان'!$L36=3,'طیف فازی'!$D$4,IF('امتیاز دهی خبرگان'!$L36=4,'طیف فازی'!$D$5,'طیف فازی'!$D$6)))))</f>
        <v>0.5</v>
      </c>
      <c r="AG36" s="17">
        <f>IF('امتیاز دهی خبرگان'!$M36=0,0,IF('امتیاز دهی خبرگان'!$M36=1,'طیف فازی'!$B$2,IF('امتیاز دهی خبرگان'!$M36=2,'طیف فازی'!$B$3,IF('امتیاز دهی خبرگان'!$M36=3,'طیف فازی'!$B$4,IF('امتیاز دهی خبرگان'!$M36=4,'طیف فازی'!$B$5,'طیف فازی'!$B$6)))))</f>
        <v>0.5</v>
      </c>
      <c r="AH36" s="18">
        <f>IF('امتیاز دهی خبرگان'!$M36=0,0,IF('امتیاز دهی خبرگان'!$M36=1,'طیف فازی'!$C$2,IF('امتیاز دهی خبرگان'!$M36=2,'طیف فازی'!$C$3,IF('امتیاز دهی خبرگان'!$M36=3,'طیف فازی'!$C$4,IF('امتیاز دهی خبرگان'!$M36=4,'طیف فازی'!$C$5,'طیف فازی'!$C$6)))))</f>
        <v>0.75</v>
      </c>
      <c r="AI36" s="19">
        <f>IF('امتیاز دهی خبرگان'!$M36=0,0,IF('امتیاز دهی خبرگان'!$M36=1,'طیف فازی'!$D$2,IF('امتیاز دهی خبرگان'!$M36=2,'طیف فازی'!$D$3,IF('امتیاز دهی خبرگان'!$M36=3,'طیف فازی'!$D$4,IF('امتیاز دهی خبرگان'!$M36=4,'طیف فازی'!$D$5,'طیف فازی'!$D$6)))))</f>
        <v>1</v>
      </c>
      <c r="AJ36" s="17">
        <f>IF('امتیاز دهی خبرگان'!$N36=0,0,IF('امتیاز دهی خبرگان'!$N36=1,'طیف فازی'!$B$2,IF('امتیاز دهی خبرگان'!$N36=2,'طیف فازی'!$B$3,IF('امتیاز دهی خبرگان'!$N36=3,'طیف فازی'!$B$4,IF('امتیاز دهی خبرگان'!$N36=4,'طیف فازی'!$B$5,'طیف فازی'!$B$6)))))</f>
        <v>0.5</v>
      </c>
      <c r="AK36" s="18">
        <f>IF('امتیاز دهی خبرگان'!$N36=0,0,IF('امتیاز دهی خبرگان'!$N36=1,'طیف فازی'!$C$2,IF('امتیاز دهی خبرگان'!$N36=2,'طیف فازی'!$C$3,IF('امتیاز دهی خبرگان'!$N36=3,'طیف فازی'!$C$4,IF('امتیاز دهی خبرگان'!$N36=4,'طیف فازی'!$C$5,'طیف فازی'!$C$6)))))</f>
        <v>0.75</v>
      </c>
      <c r="AL36" s="19">
        <f>IF('امتیاز دهی خبرگان'!$N36=0,0,IF('امتیاز دهی خبرگان'!$N36=1,'طیف فازی'!$D$2,IF('امتیاز دهی خبرگان'!$N36=2,'طیف فازی'!$D$3,IF('امتیاز دهی خبرگان'!$N36=3,'طیف فازی'!$D$4,IF('امتیاز دهی خبرگان'!$N36=4,'طیف فازی'!$D$5,'طیف فازی'!$D$6)))))</f>
        <v>1</v>
      </c>
      <c r="AM36" s="23">
        <f t="shared" si="1"/>
        <v>3.5</v>
      </c>
      <c r="AN36" s="23">
        <f t="shared" si="2"/>
        <v>6.5</v>
      </c>
      <c r="AO36" s="24">
        <f t="shared" si="3"/>
        <v>9</v>
      </c>
      <c r="AP36" s="25">
        <f t="shared" si="4"/>
        <v>0.29166666666666669</v>
      </c>
      <c r="AQ36" s="23">
        <f t="shared" si="5"/>
        <v>0.54166666666666663</v>
      </c>
      <c r="AR36" s="24">
        <f t="shared" si="6"/>
        <v>0.75</v>
      </c>
      <c r="AS36" s="24">
        <f t="shared" si="7"/>
        <v>0.52777777777777779</v>
      </c>
      <c r="AT36" s="24" t="str">
        <f t="shared" si="8"/>
        <v>Not Pass</v>
      </c>
    </row>
    <row r="37" spans="2:46" ht="23.25" customHeight="1" thickBot="1" x14ac:dyDescent="0.85">
      <c r="B37" s="2">
        <v>35</v>
      </c>
      <c r="C37" s="17">
        <f>IF('امتیاز دهی خبرگان'!$C37=0,0,IF('امتیاز دهی خبرگان'!$C37=1,'طیف فازی'!$B$2,IF('امتیاز دهی خبرگان'!$C37=2,'طیف فازی'!$B$3,IF('امتیاز دهی خبرگان'!$C37=3,'طیف فازی'!$B$4,IF('امتیاز دهی خبرگان'!$C37=4,'طیف فازی'!$B$5,'طیف فازی'!$B$6)))))</f>
        <v>0.75</v>
      </c>
      <c r="D37" s="18">
        <f>IF('امتیاز دهی خبرگان'!$C37=0,0,IF('امتیاز دهی خبرگان'!$C37=1,'طیف فازی'!$C$2,IF('امتیاز دهی خبرگان'!$C37=2,'طیف فازی'!$C$3,IF('امتیاز دهی خبرگان'!$C37=3,'طیف فازی'!$C$4,IF('امتیاز دهی خبرگان'!$C37=4,'طیف فازی'!$C$5,'طیف فازی'!$C$6)))))</f>
        <v>1</v>
      </c>
      <c r="E37" s="19">
        <f>IF('امتیاز دهی خبرگان'!$C37=0,0,IF('امتیاز دهی خبرگان'!$C37=1,'طیف فازی'!$D$2,IF('امتیاز دهی خبرگان'!$C37=2,'طیف فازی'!$D$3,IF('امتیاز دهی خبرگان'!$C37=3,'طیف فازی'!$D$4,IF('امتیاز دهی خبرگان'!$C37=4,'طیف فازی'!$D$5,'طیف فازی'!$D$6)))))</f>
        <v>1</v>
      </c>
      <c r="F37" s="20">
        <f>IF('امتیاز دهی خبرگان'!$D37=0,0,IF('امتیاز دهی خبرگان'!$D37=1,'طیف فازی'!$B$2,IF('امتیاز دهی خبرگان'!$D37=2,'طیف فازی'!$B$3,IF('امتیاز دهی خبرگان'!$D37=3,'طیف فازی'!$B$4,IF('امتیاز دهی خبرگان'!$D37=4,'طیف فازی'!$B$5,'طیف فازی'!$B$6)))))</f>
        <v>0</v>
      </c>
      <c r="G37" s="21">
        <f>IF('امتیاز دهی خبرگان'!$D37=0,0,IF('امتیاز دهی خبرگان'!$D37=1,'طیف فازی'!$D$2,IF('امتیاز دهی خبرگان'!$D37=2,'طیف فازی'!$C$3,IF('امتیاز دهی خبرگان'!$D37=3,'طیف فازی'!$C$4,IF('امتیاز دهی خبرگان'!$D37=4,'طیف فازی'!$C$5,'طیف فازی'!$C$6)))))</f>
        <v>0.25</v>
      </c>
      <c r="H37" s="22">
        <f>IF('امتیاز دهی خبرگان'!$D37=0,0,IF('امتیاز دهی خبرگان'!$D37=1,'طیف فازی'!$D$2,IF('امتیاز دهی خبرگان'!$D37=2,'طیف فازی'!$D$3,IF('امتیاز دهی خبرگان'!$D37=3,'طیف فازی'!$D$4,IF('امتیاز دهی خبرگان'!$D37=4,'طیف فازی'!$D$5,'طیف فازی'!$D$6)))))</f>
        <v>0.5</v>
      </c>
      <c r="I37" s="17">
        <f>IF('امتیاز دهی خبرگان'!$E37=0,0,IF('امتیاز دهی خبرگان'!$E37=1,'طیف فازی'!$B$2,IF('امتیاز دهی خبرگان'!$E37=2,'طیف فازی'!$B$3,IF('امتیاز دهی خبرگان'!$E37=3,'طیف فازی'!$B$4,IF('امتیاز دهی خبرگان'!$E37=4,'طیف فازی'!$B$5,'طیف فازی'!$B$6)))))</f>
        <v>0.25</v>
      </c>
      <c r="J37" s="18">
        <f>IF('امتیاز دهی خبرگان'!$E37=0,0,IF('امتیاز دهی خبرگان'!$E37=1,'طیف فازی'!$C$2,IF('امتیاز دهی خبرگان'!$E37=2,'طیف فازی'!$C$3,IF('امتیاز دهی خبرگان'!$E37=3,'طیف فازی'!$C$4,IF('امتیاز دهی خبرگان'!$E37=4,'طیف فازی'!$C$5,'طیف فازی'!$C$6)))))</f>
        <v>0.5</v>
      </c>
      <c r="K37" s="19">
        <f>IF('امتیاز دهی خبرگان'!$E37=0,0,IF('امتیاز دهی خبرگان'!$E37=1,'طیف فازی'!$D$2,IF('امتیاز دهی خبرگان'!$E37=2,'طیف فازی'!$D$3,IF('امتیاز دهی خبرگان'!$E37=3,'طیف فازی'!$D$4,IF('امتیاز دهی خبرگان'!$E37=4,'طیف فازی'!$D$5,'طیف فازی'!$D$6)))))</f>
        <v>0.75</v>
      </c>
      <c r="L37" s="17">
        <f>IF('امتیاز دهی خبرگان'!$F37=0,0,IF('امتیاز دهی خبرگان'!$F37=1,'طیف فازی'!$B$2,IF('امتیاز دهی خبرگان'!$F37=2,'طیف فازی'!$B$3,IF('امتیاز دهی خبرگان'!$F37=3,'طیف فازی'!$B$4,IF('امتیاز دهی خبرگان'!$F37=4,'طیف فازی'!$B$5,'طیف فازی'!$B$6)))))</f>
        <v>0.25</v>
      </c>
      <c r="M37" s="18">
        <f>IF('امتیاز دهی خبرگان'!$F37=0,0,IF('امتیاز دهی خبرگان'!$F37=1,'طیف فازی'!$C$2,IF('امتیاز دهی خبرگان'!$F37=2,'طیف فازی'!$C$3,IF('امتیاز دهی خبرگان'!$F37=3,'طیف فازی'!$C$4,IF('امتیاز دهی خبرگان'!$F37=4,'طیف فازی'!$C$5,'طیف فازی'!$C$6)))))</f>
        <v>0.5</v>
      </c>
      <c r="N37" s="19">
        <f>IF('امتیاز دهی خبرگان'!$F37=0,0,IF('امتیاز دهی خبرگان'!$F37=1,'طیف فازی'!$D$2,IF('امتیاز دهی خبرگان'!$F37=2,'طیف فازی'!$D$3,IF('امتیاز دهی خبرگان'!$F37=3,'طیف فازی'!$D$4,IF('امتیاز دهی خبرگان'!$F37=4,'طیف فازی'!$D$5,'طیف فازی'!$D$6)))))</f>
        <v>0.75</v>
      </c>
      <c r="O37" s="17">
        <f>IF('امتیاز دهی خبرگان'!$G37=0,0,IF('امتیاز دهی خبرگان'!$G37=1,'طیف فازی'!$B$2,IF('امتیاز دهی خبرگان'!$G37=2,'طیف فازی'!$B$3,IF('امتیاز دهی خبرگان'!$G37=3,'طیف فازی'!$B$4,IF('امتیاز دهی خبرگان'!$G37=4,'طیف فازی'!$B$5,'طیف فازی'!$B$6)))))</f>
        <v>0</v>
      </c>
      <c r="P37" s="18">
        <f>IF('امتیاز دهی خبرگان'!$G37=0,0,IF('امتیاز دهی خبرگان'!$G37=1,'طیف فازی'!$C$2,IF('امتیاز دهی خبرگان'!$G37=2,'طیف فازی'!$C$3,IF('امتیاز دهی خبرگان'!$G37=3,'طیف فازی'!$C$4,IF('امتیاز دهی خبرگان'!$G37=4,'طیف فازی'!$C$5,'طیف فازی'!$C$6)))))</f>
        <v>0.25</v>
      </c>
      <c r="Q37" s="19">
        <f>IF('امتیاز دهی خبرگان'!$G37=0,0,IF('امتیاز دهی خبرگان'!$G37=1,'طیف فازی'!$D$2,IF('امتیاز دهی خبرگان'!$G37=2,'طیف فازی'!$D$3,IF('امتیاز دهی خبرگان'!$G37=3,'طیف فازی'!$D$4,IF('امتیاز دهی خبرگان'!$G37=4,'طیف فازی'!$D$5,'طیف فازی'!$D$6)))))</f>
        <v>0.5</v>
      </c>
      <c r="R37" s="17">
        <f>IF('امتیاز دهی خبرگان'!$H37=0,0,IF('امتیاز دهی خبرگان'!$H37=1,'طیف فازی'!$B$2,IF('امتیاز دهی خبرگان'!$H37=2,'طیف فازی'!$B$3,IF('امتیاز دهی خبرگان'!$H37=3,'طیف فازی'!$B$4,IF('امتیاز دهی خبرگان'!$H37=4,'طیف فازی'!$B$5,'طیف فازی'!$B$6)))))</f>
        <v>0.5</v>
      </c>
      <c r="S37" s="18">
        <f>IF('امتیاز دهی خبرگان'!$H37=0,0,IF('امتیاز دهی خبرگان'!$H37=1,'طیف فازی'!$C$2,IF('امتیاز دهی خبرگان'!$H37=2,'طیف فازی'!$C$3,IF('امتیاز دهی خبرگان'!$H37=3,'طیف فازی'!$C$4,IF('امتیاز دهی خبرگان'!$H37=4,'طیف فازی'!$C$5,'طیف فازی'!$C$6)))))</f>
        <v>0.75</v>
      </c>
      <c r="T37" s="19">
        <f>IF('امتیاز دهی خبرگان'!$H37=0,0,IF('امتیاز دهی خبرگان'!$H37=1,'طیف فازی'!$D$2,IF('امتیاز دهی خبرگان'!$H37=2,'طیف فازی'!$D$3,IF('امتیاز دهی خبرگان'!$H37=3,'طیف فازی'!$D$4,IF('امتیاز دهی خبرگان'!$H37=4,'طیف فازی'!$D$5,'طیف فازی'!$D$6)))))</f>
        <v>1</v>
      </c>
      <c r="U37" s="17">
        <f>IF('امتیاز دهی خبرگان'!$I37=0,0,IF('امتیاز دهی خبرگان'!$I37=1,'طیف فازی'!$B$2,IF('امتیاز دهی خبرگان'!$I37=2,'طیف فازی'!$B$3,IF('امتیاز دهی خبرگان'!$I37=3,'طیف فازی'!$B$4,IF('امتیاز دهی خبرگان'!$I37=4,'طیف فازی'!$B$5,'طیف فازی'!$B$6)))))</f>
        <v>0.75</v>
      </c>
      <c r="V37" s="18">
        <f>IF('امتیاز دهی خبرگان'!$I37=0,0,IF('امتیاز دهی خبرگان'!$I37=1,'طیف فازی'!$C$2,IF('امتیاز دهی خبرگان'!$I37=2,'طیف فازی'!$C$3,IF('امتیاز دهی خبرگان'!$I37=3,'طیف فازی'!$C$4,IF('امتیاز دهی خبرگان'!$I37=4,'طیف فازی'!$C$5,'طیف فازی'!$C$6)))))</f>
        <v>1</v>
      </c>
      <c r="W37" s="19">
        <f>IF('امتیاز دهی خبرگان'!$I37=0,0,IF('امتیاز دهی خبرگان'!$I37=1,'طیف فازی'!$D$2,IF('امتیاز دهی خبرگان'!$I37=2,'طیف فازی'!$D$3,IF('امتیاز دهی خبرگان'!$I37=3,'طیف فازی'!$D$4,IF('امتیاز دهی خبرگان'!$I37=4,'طیف فازی'!$D$5,'طیف فازی'!$D$6)))))</f>
        <v>1</v>
      </c>
      <c r="X37" s="17">
        <f>IF('امتیاز دهی خبرگان'!$J37=0,0,IF('امتیاز دهی خبرگان'!$J37=1,'طیف فازی'!$B$2,IF('امتیاز دهی خبرگان'!$J37=2,'طیف فازی'!$B$3,IF('امتیاز دهی خبرگان'!$J37=3,'طیف فازی'!$B$4,IF('امتیاز دهی خبرگان'!$J37=4,'طیف فازی'!$B$5,'طیف فازی'!$B$6)))))</f>
        <v>0.75</v>
      </c>
      <c r="Y37" s="18">
        <f>IF('امتیاز دهی خبرگان'!$J37=0,0,IF('امتیاز دهی خبرگان'!$J37=1,'طیف فازی'!$C$2,IF('امتیاز دهی خبرگان'!$J37=2,'طیف فازی'!$C$3,IF('امتیاز دهی خبرگان'!$J37=3,'طیف فازی'!$C$4,IF('امتیاز دهی خبرگان'!$J37=4,'طیف فازی'!$C$5,'طیف فازی'!$C$6)))))</f>
        <v>1</v>
      </c>
      <c r="Z37" s="19">
        <f>IF('امتیاز دهی خبرگان'!$J37=0,0,IF('امتیاز دهی خبرگان'!$J37=1,'طیف فازی'!$D$2,IF('امتیاز دهی خبرگان'!$J37=2,'طیف فازی'!$D$3,IF('امتیاز دهی خبرگان'!$J37=3,'طیف فازی'!$D$4,IF('امتیاز دهی خبرگان'!$J37=4,'طیف فازی'!$D$5,'طیف فازی'!$D$6)))))</f>
        <v>1</v>
      </c>
      <c r="AA37" s="17">
        <f>IF('امتیاز دهی خبرگان'!$K37=0,0,IF('امتیاز دهی خبرگان'!$K37=1,'طیف فازی'!$B$2,IF('امتیاز دهی خبرگان'!$K37=2,'طیف فازی'!$B$3,IF('امتیاز دهی خبرگان'!$K37=3,'طیف فازی'!$B$4,IF('امتیاز دهی خبرگان'!$K37=4,'طیف فازی'!$B$5,'طیف فازی'!$B$6)))))</f>
        <v>0.75</v>
      </c>
      <c r="AB37" s="18">
        <f>IF('امتیاز دهی خبرگان'!$K37=0,0,IF('امتیاز دهی خبرگان'!$K37=1,'طیف فازی'!$C$2,IF('امتیاز دهی خبرگان'!$K37=2,'طیف فازی'!$C$3,IF('امتیاز دهی خبرگان'!$K37=3,'طیف فازی'!$C$4,IF('امتیاز دهی خبرگان'!$K37=4,'طیف فازی'!$C$5,'طیف فازی'!$C$6)))))</f>
        <v>1</v>
      </c>
      <c r="AC37" s="19">
        <f>IF('امتیاز دهی خبرگان'!$K37=0,0,IF('امتیاز دهی خبرگان'!$K37=1,'طیف فازی'!$D$2,IF('امتیاز دهی خبرگان'!$K37=2,'طیف فازی'!$D$3,IF('امتیاز دهی خبرگان'!$K37=3,'طیف فازی'!$D$4,IF('امتیاز دهی خبرگان'!$K37=4,'طیف فازی'!$D$5,'طیف فازی'!$D$6)))))</f>
        <v>1</v>
      </c>
      <c r="AD37" s="17">
        <f>IF('امتیاز دهی خبرگان'!$L37=0,0,IF('امتیاز دهی خبرگان'!$L37=1,'طیف فازی'!$B$2,IF('امتیاز دهی خبرگان'!$L37=2,'طیف فازی'!$B$3,IF('امتیاز دهی خبرگان'!$L37=3,'طیف فازی'!$B$4,IF('امتیاز دهی خبرگان'!$L37=4,'طیف فازی'!$B$5,'طیف فازی'!$B$6)))))</f>
        <v>0.75</v>
      </c>
      <c r="AE37" s="18">
        <f>IF('امتیاز دهی خبرگان'!$L37=0,0,IF('امتیاز دهی خبرگان'!$L37=1,'طیف فازی'!$C$2,IF('امتیاز دهی خبرگان'!$L37=2,'طیف فازی'!$C$3,IF('امتیاز دهی خبرگان'!$L37=3,'طیف فازی'!$C$4,IF('امتیاز دهی خبرگان'!$L37=4,'طیف فازی'!$C$5,'طیف فازی'!$C$6)))))</f>
        <v>1</v>
      </c>
      <c r="AF37" s="19">
        <f>IF('امتیاز دهی خبرگان'!$L37=0,0,IF('امتیاز دهی خبرگان'!$L37=1,'طیف فازی'!$D$2,IF('امتیاز دهی خبرگان'!$L37=2,'طیف فازی'!$D$3,IF('امتیاز دهی خبرگان'!$L37=3,'طیف فازی'!$D$4,IF('امتیاز دهی خبرگان'!$L37=4,'طیف فازی'!$D$5,'طیف فازی'!$D$6)))))</f>
        <v>1</v>
      </c>
      <c r="AG37" s="17">
        <f>IF('امتیاز دهی خبرگان'!$M37=0,0,IF('امتیاز دهی خبرگان'!$M37=1,'طیف فازی'!$B$2,IF('امتیاز دهی خبرگان'!$M37=2,'طیف فازی'!$B$3,IF('امتیاز دهی خبرگان'!$M37=3,'طیف فازی'!$B$4,IF('امتیاز دهی خبرگان'!$M37=4,'طیف فازی'!$B$5,'طیف فازی'!$B$6)))))</f>
        <v>0.75</v>
      </c>
      <c r="AH37" s="18">
        <f>IF('امتیاز دهی خبرگان'!$M37=0,0,IF('امتیاز دهی خبرگان'!$M37=1,'طیف فازی'!$C$2,IF('امتیاز دهی خبرگان'!$M37=2,'طیف فازی'!$C$3,IF('امتیاز دهی خبرگان'!$M37=3,'طیف فازی'!$C$4,IF('امتیاز دهی خبرگان'!$M37=4,'طیف فازی'!$C$5,'طیف فازی'!$C$6)))))</f>
        <v>1</v>
      </c>
      <c r="AI37" s="19">
        <f>IF('امتیاز دهی خبرگان'!$M37=0,0,IF('امتیاز دهی خبرگان'!$M37=1,'طیف فازی'!$D$2,IF('امتیاز دهی خبرگان'!$M37=2,'طیف فازی'!$D$3,IF('امتیاز دهی خبرگان'!$M37=3,'طیف فازی'!$D$4,IF('امتیاز دهی خبرگان'!$M37=4,'طیف فازی'!$D$5,'طیف فازی'!$D$6)))))</f>
        <v>1</v>
      </c>
      <c r="AJ37" s="17">
        <f>IF('امتیاز دهی خبرگان'!$N37=0,0,IF('امتیاز دهی خبرگان'!$N37=1,'طیف فازی'!$B$2,IF('امتیاز دهی خبرگان'!$N37=2,'طیف فازی'!$B$3,IF('امتیاز دهی خبرگان'!$N37=3,'طیف فازی'!$B$4,IF('امتیاز دهی خبرگان'!$N37=4,'طیف فازی'!$B$5,'طیف فازی'!$B$6)))))</f>
        <v>0.75</v>
      </c>
      <c r="AK37" s="18">
        <f>IF('امتیاز دهی خبرگان'!$N37=0,0,IF('امتیاز دهی خبرگان'!$N37=1,'طیف فازی'!$C$2,IF('امتیاز دهی خبرگان'!$N37=2,'طیف فازی'!$C$3,IF('امتیاز دهی خبرگان'!$N37=3,'طیف فازی'!$C$4,IF('امتیاز دهی خبرگان'!$N37=4,'طیف فازی'!$C$5,'طیف فازی'!$C$6)))))</f>
        <v>1</v>
      </c>
      <c r="AL37" s="19">
        <f>IF('امتیاز دهی خبرگان'!$N37=0,0,IF('امتیاز دهی خبرگان'!$N37=1,'طیف فازی'!$D$2,IF('امتیاز دهی خبرگان'!$N37=2,'طیف فازی'!$D$3,IF('امتیاز دهی خبرگان'!$N37=3,'طیف فازی'!$D$4,IF('امتیاز دهی خبرگان'!$N37=4,'طیف فازی'!$D$5,'طیف فازی'!$D$6)))))</f>
        <v>1</v>
      </c>
      <c r="AM37" s="23">
        <f t="shared" si="1"/>
        <v>6.25</v>
      </c>
      <c r="AN37" s="23">
        <f t="shared" si="2"/>
        <v>9.25</v>
      </c>
      <c r="AO37" s="24">
        <f t="shared" si="3"/>
        <v>10.5</v>
      </c>
      <c r="AP37" s="25">
        <f t="shared" si="4"/>
        <v>0.52083333333333337</v>
      </c>
      <c r="AQ37" s="23">
        <f t="shared" si="5"/>
        <v>0.77083333333333337</v>
      </c>
      <c r="AR37" s="24">
        <f t="shared" si="6"/>
        <v>0.875</v>
      </c>
      <c r="AS37" s="24">
        <f t="shared" si="7"/>
        <v>0.72222222222222232</v>
      </c>
      <c r="AT37" s="24" t="str">
        <f t="shared" si="8"/>
        <v>Pass</v>
      </c>
    </row>
    <row r="38" spans="2:46" ht="23.25" customHeight="1" thickBot="1" x14ac:dyDescent="0.85">
      <c r="B38" s="2">
        <v>36</v>
      </c>
      <c r="C38" s="17">
        <f>IF('امتیاز دهی خبرگان'!$C38=0,0,IF('امتیاز دهی خبرگان'!$C38=1,'طیف فازی'!$B$2,IF('امتیاز دهی خبرگان'!$C38=2,'طیف فازی'!$B$3,IF('امتیاز دهی خبرگان'!$C38=3,'طیف فازی'!$B$4,IF('امتیاز دهی خبرگان'!$C38=4,'طیف فازی'!$B$5,'طیف فازی'!$B$6)))))</f>
        <v>0.75</v>
      </c>
      <c r="D38" s="18">
        <f>IF('امتیاز دهی خبرگان'!$C38=0,0,IF('امتیاز دهی خبرگان'!$C38=1,'طیف فازی'!$C$2,IF('امتیاز دهی خبرگان'!$C38=2,'طیف فازی'!$C$3,IF('امتیاز دهی خبرگان'!$C38=3,'طیف فازی'!$C$4,IF('امتیاز دهی خبرگان'!$C38=4,'طیف فازی'!$C$5,'طیف فازی'!$C$6)))))</f>
        <v>1</v>
      </c>
      <c r="E38" s="19">
        <f>IF('امتیاز دهی خبرگان'!$C38=0,0,IF('امتیاز دهی خبرگان'!$C38=1,'طیف فازی'!$D$2,IF('امتیاز دهی خبرگان'!$C38=2,'طیف فازی'!$D$3,IF('امتیاز دهی خبرگان'!$C38=3,'طیف فازی'!$D$4,IF('امتیاز دهی خبرگان'!$C38=4,'طیف فازی'!$D$5,'طیف فازی'!$D$6)))))</f>
        <v>1</v>
      </c>
      <c r="F38" s="20">
        <f>IF('امتیاز دهی خبرگان'!$D38=0,0,IF('امتیاز دهی خبرگان'!$D38=1,'طیف فازی'!$B$2,IF('امتیاز دهی خبرگان'!$D38=2,'طیف فازی'!$B$3,IF('امتیاز دهی خبرگان'!$D38=3,'طیف فازی'!$B$4,IF('امتیاز دهی خبرگان'!$D38=4,'طیف فازی'!$B$5,'طیف فازی'!$B$6)))))</f>
        <v>0.5</v>
      </c>
      <c r="G38" s="21">
        <f>IF('امتیاز دهی خبرگان'!$D38=0,0,IF('امتیاز دهی خبرگان'!$D38=1,'طیف فازی'!$D$2,IF('امتیاز دهی خبرگان'!$D38=2,'طیف فازی'!$C$3,IF('امتیاز دهی خبرگان'!$D38=3,'طیف فازی'!$C$4,IF('امتیاز دهی خبرگان'!$D38=4,'طیف فازی'!$C$5,'طیف فازی'!$C$6)))))</f>
        <v>0.75</v>
      </c>
      <c r="H38" s="22">
        <f>IF('امتیاز دهی خبرگان'!$D38=0,0,IF('امتیاز دهی خبرگان'!$D38=1,'طیف فازی'!$D$2,IF('امتیاز دهی خبرگان'!$D38=2,'طیف فازی'!$D$3,IF('امتیاز دهی خبرگان'!$D38=3,'طیف فازی'!$D$4,IF('امتیاز دهی خبرگان'!$D38=4,'طیف فازی'!$D$5,'طیف فازی'!$D$6)))))</f>
        <v>1</v>
      </c>
      <c r="I38" s="17">
        <f>IF('امتیاز دهی خبرگان'!$E38=0,0,IF('امتیاز دهی خبرگان'!$E38=1,'طیف فازی'!$B$2,IF('امتیاز دهی خبرگان'!$E38=2,'طیف فازی'!$B$3,IF('امتیاز دهی خبرگان'!$E38=3,'طیف فازی'!$B$4,IF('امتیاز دهی خبرگان'!$E38=4,'طیف فازی'!$B$5,'طیف فازی'!$B$6)))))</f>
        <v>0.75</v>
      </c>
      <c r="J38" s="18">
        <f>IF('امتیاز دهی خبرگان'!$E38=0,0,IF('امتیاز دهی خبرگان'!$E38=1,'طیف فازی'!$C$2,IF('امتیاز دهی خبرگان'!$E38=2,'طیف فازی'!$C$3,IF('امتیاز دهی خبرگان'!$E38=3,'طیف فازی'!$C$4,IF('امتیاز دهی خبرگان'!$E38=4,'طیف فازی'!$C$5,'طیف فازی'!$C$6)))))</f>
        <v>1</v>
      </c>
      <c r="K38" s="19">
        <f>IF('امتیاز دهی خبرگان'!$E38=0,0,IF('امتیاز دهی خبرگان'!$E38=1,'طیف فازی'!$D$2,IF('امتیاز دهی خبرگان'!$E38=2,'طیف فازی'!$D$3,IF('امتیاز دهی خبرگان'!$E38=3,'طیف فازی'!$D$4,IF('امتیاز دهی خبرگان'!$E38=4,'طیف فازی'!$D$5,'طیف فازی'!$D$6)))))</f>
        <v>1</v>
      </c>
      <c r="L38" s="17">
        <f>IF('امتیاز دهی خبرگان'!$F38=0,0,IF('امتیاز دهی خبرگان'!$F38=1,'طیف فازی'!$B$2,IF('امتیاز دهی خبرگان'!$F38=2,'طیف فازی'!$B$3,IF('امتیاز دهی خبرگان'!$F38=3,'طیف فازی'!$B$4,IF('امتیاز دهی خبرگان'!$F38=4,'طیف فازی'!$B$5,'طیف فازی'!$B$6)))))</f>
        <v>0.25</v>
      </c>
      <c r="M38" s="18">
        <f>IF('امتیاز دهی خبرگان'!$F38=0,0,IF('امتیاز دهی خبرگان'!$F38=1,'طیف فازی'!$C$2,IF('امتیاز دهی خبرگان'!$F38=2,'طیف فازی'!$C$3,IF('امتیاز دهی خبرگان'!$F38=3,'طیف فازی'!$C$4,IF('امتیاز دهی خبرگان'!$F38=4,'طیف فازی'!$C$5,'طیف فازی'!$C$6)))))</f>
        <v>0.5</v>
      </c>
      <c r="N38" s="19">
        <f>IF('امتیاز دهی خبرگان'!$F38=0,0,IF('امتیاز دهی خبرگان'!$F38=1,'طیف فازی'!$D$2,IF('امتیاز دهی خبرگان'!$F38=2,'طیف فازی'!$D$3,IF('امتیاز دهی خبرگان'!$F38=3,'طیف فازی'!$D$4,IF('امتیاز دهی خبرگان'!$F38=4,'طیف فازی'!$D$5,'طیف فازی'!$D$6)))))</f>
        <v>0.75</v>
      </c>
      <c r="O38" s="17">
        <f>IF('امتیاز دهی خبرگان'!$G38=0,0,IF('امتیاز دهی خبرگان'!$G38=1,'طیف فازی'!$B$2,IF('امتیاز دهی خبرگان'!$G38=2,'طیف فازی'!$B$3,IF('امتیاز دهی خبرگان'!$G38=3,'طیف فازی'!$B$4,IF('امتیاز دهی خبرگان'!$G38=4,'طیف فازی'!$B$5,'طیف فازی'!$B$6)))))</f>
        <v>0.5</v>
      </c>
      <c r="P38" s="18">
        <f>IF('امتیاز دهی خبرگان'!$G38=0,0,IF('امتیاز دهی خبرگان'!$G38=1,'طیف فازی'!$C$2,IF('امتیاز دهی خبرگان'!$G38=2,'طیف فازی'!$C$3,IF('امتیاز دهی خبرگان'!$G38=3,'طیف فازی'!$C$4,IF('امتیاز دهی خبرگان'!$G38=4,'طیف فازی'!$C$5,'طیف فازی'!$C$6)))))</f>
        <v>0.75</v>
      </c>
      <c r="Q38" s="19">
        <f>IF('امتیاز دهی خبرگان'!$G38=0,0,IF('امتیاز دهی خبرگان'!$G38=1,'طیف فازی'!$D$2,IF('امتیاز دهی خبرگان'!$G38=2,'طیف فازی'!$D$3,IF('امتیاز دهی خبرگان'!$G38=3,'طیف فازی'!$D$4,IF('امتیاز دهی خبرگان'!$G38=4,'طیف فازی'!$D$5,'طیف فازی'!$D$6)))))</f>
        <v>1</v>
      </c>
      <c r="R38" s="17">
        <f>IF('امتیاز دهی خبرگان'!$H38=0,0,IF('امتیاز دهی خبرگان'!$H38=1,'طیف فازی'!$B$2,IF('امتیاز دهی خبرگان'!$H38=2,'طیف فازی'!$B$3,IF('امتیاز دهی خبرگان'!$H38=3,'طیف فازی'!$B$4,IF('امتیاز دهی خبرگان'!$H38=4,'طیف فازی'!$B$5,'طیف فازی'!$B$6)))))</f>
        <v>0.25</v>
      </c>
      <c r="S38" s="18">
        <f>IF('امتیاز دهی خبرگان'!$H38=0,0,IF('امتیاز دهی خبرگان'!$H38=1,'طیف فازی'!$C$2,IF('امتیاز دهی خبرگان'!$H38=2,'طیف فازی'!$C$3,IF('امتیاز دهی خبرگان'!$H38=3,'طیف فازی'!$C$4,IF('امتیاز دهی خبرگان'!$H38=4,'طیف فازی'!$C$5,'طیف فازی'!$C$6)))))</f>
        <v>0.5</v>
      </c>
      <c r="T38" s="19">
        <f>IF('امتیاز دهی خبرگان'!$H38=0,0,IF('امتیاز دهی خبرگان'!$H38=1,'طیف فازی'!$D$2,IF('امتیاز دهی خبرگان'!$H38=2,'طیف فازی'!$D$3,IF('امتیاز دهی خبرگان'!$H38=3,'طیف فازی'!$D$4,IF('امتیاز دهی خبرگان'!$H38=4,'طیف فازی'!$D$5,'طیف فازی'!$D$6)))))</f>
        <v>0.75</v>
      </c>
      <c r="U38" s="17">
        <f>IF('امتیاز دهی خبرگان'!$I38=0,0,IF('امتیاز دهی خبرگان'!$I38=1,'طیف فازی'!$B$2,IF('امتیاز دهی خبرگان'!$I38=2,'طیف فازی'!$B$3,IF('امتیاز دهی خبرگان'!$I38=3,'طیف فازی'!$B$4,IF('امتیاز دهی خبرگان'!$I38=4,'طیف فازی'!$B$5,'طیف فازی'!$B$6)))))</f>
        <v>0.5</v>
      </c>
      <c r="V38" s="18">
        <f>IF('امتیاز دهی خبرگان'!$I38=0,0,IF('امتیاز دهی خبرگان'!$I38=1,'طیف فازی'!$C$2,IF('امتیاز دهی خبرگان'!$I38=2,'طیف فازی'!$C$3,IF('امتیاز دهی خبرگان'!$I38=3,'طیف فازی'!$C$4,IF('امتیاز دهی خبرگان'!$I38=4,'طیف فازی'!$C$5,'طیف فازی'!$C$6)))))</f>
        <v>0.75</v>
      </c>
      <c r="W38" s="19">
        <f>IF('امتیاز دهی خبرگان'!$I38=0,0,IF('امتیاز دهی خبرگان'!$I38=1,'طیف فازی'!$D$2,IF('امتیاز دهی خبرگان'!$I38=2,'طیف فازی'!$D$3,IF('امتیاز دهی خبرگان'!$I38=3,'طیف فازی'!$D$4,IF('امتیاز دهی خبرگان'!$I38=4,'طیف فازی'!$D$5,'طیف فازی'!$D$6)))))</f>
        <v>1</v>
      </c>
      <c r="X38" s="17">
        <f>IF('امتیاز دهی خبرگان'!$J38=0,0,IF('امتیاز دهی خبرگان'!$J38=1,'طیف فازی'!$B$2,IF('امتیاز دهی خبرگان'!$J38=2,'طیف فازی'!$B$3,IF('امتیاز دهی خبرگان'!$J38=3,'طیف فازی'!$B$4,IF('امتیاز دهی خبرگان'!$J38=4,'طیف فازی'!$B$5,'طیف فازی'!$B$6)))))</f>
        <v>0.5</v>
      </c>
      <c r="Y38" s="18">
        <f>IF('امتیاز دهی خبرگان'!$J38=0,0,IF('امتیاز دهی خبرگان'!$J38=1,'طیف فازی'!$C$2,IF('امتیاز دهی خبرگان'!$J38=2,'طیف فازی'!$C$3,IF('امتیاز دهی خبرگان'!$J38=3,'طیف فازی'!$C$4,IF('امتیاز دهی خبرگان'!$J38=4,'طیف فازی'!$C$5,'طیف فازی'!$C$6)))))</f>
        <v>0.75</v>
      </c>
      <c r="Z38" s="19">
        <f>IF('امتیاز دهی خبرگان'!$J38=0,0,IF('امتیاز دهی خبرگان'!$J38=1,'طیف فازی'!$D$2,IF('امتیاز دهی خبرگان'!$J38=2,'طیف فازی'!$D$3,IF('امتیاز دهی خبرگان'!$J38=3,'طیف فازی'!$D$4,IF('امتیاز دهی خبرگان'!$J38=4,'طیف فازی'!$D$5,'طیف فازی'!$D$6)))))</f>
        <v>1</v>
      </c>
      <c r="AA38" s="17">
        <f>IF('امتیاز دهی خبرگان'!$K38=0,0,IF('امتیاز دهی خبرگان'!$K38=1,'طیف فازی'!$B$2,IF('امتیاز دهی خبرگان'!$K38=2,'طیف فازی'!$B$3,IF('امتیاز دهی خبرگان'!$K38=3,'طیف فازی'!$B$4,IF('امتیاز دهی خبرگان'!$K38=4,'طیف فازی'!$B$5,'طیف فازی'!$B$6)))))</f>
        <v>0.5</v>
      </c>
      <c r="AB38" s="18">
        <f>IF('امتیاز دهی خبرگان'!$K38=0,0,IF('امتیاز دهی خبرگان'!$K38=1,'طیف فازی'!$C$2,IF('امتیاز دهی خبرگان'!$K38=2,'طیف فازی'!$C$3,IF('امتیاز دهی خبرگان'!$K38=3,'طیف فازی'!$C$4,IF('امتیاز دهی خبرگان'!$K38=4,'طیف فازی'!$C$5,'طیف فازی'!$C$6)))))</f>
        <v>0.75</v>
      </c>
      <c r="AC38" s="19">
        <f>IF('امتیاز دهی خبرگان'!$K38=0,0,IF('امتیاز دهی خبرگان'!$K38=1,'طیف فازی'!$D$2,IF('امتیاز دهی خبرگان'!$K38=2,'طیف فازی'!$D$3,IF('امتیاز دهی خبرگان'!$K38=3,'طیف فازی'!$D$4,IF('امتیاز دهی خبرگان'!$K38=4,'طیف فازی'!$D$5,'طیف فازی'!$D$6)))))</f>
        <v>1</v>
      </c>
      <c r="AD38" s="17">
        <f>IF('امتیاز دهی خبرگان'!$L38=0,0,IF('امتیاز دهی خبرگان'!$L38=1,'طیف فازی'!$B$2,IF('امتیاز دهی خبرگان'!$L38=2,'طیف فازی'!$B$3,IF('امتیاز دهی خبرگان'!$L38=3,'طیف فازی'!$B$4,IF('امتیاز دهی خبرگان'!$L38=4,'طیف فازی'!$B$5,'طیف فازی'!$B$6)))))</f>
        <v>0.5</v>
      </c>
      <c r="AE38" s="18">
        <f>IF('امتیاز دهی خبرگان'!$L38=0,0,IF('امتیاز دهی خبرگان'!$L38=1,'طیف فازی'!$C$2,IF('امتیاز دهی خبرگان'!$L38=2,'طیف فازی'!$C$3,IF('امتیاز دهی خبرگان'!$L38=3,'طیف فازی'!$C$4,IF('امتیاز دهی خبرگان'!$L38=4,'طیف فازی'!$C$5,'طیف فازی'!$C$6)))))</f>
        <v>0.75</v>
      </c>
      <c r="AF38" s="19">
        <f>IF('امتیاز دهی خبرگان'!$L38=0,0,IF('امتیاز دهی خبرگان'!$L38=1,'طیف فازی'!$D$2,IF('امتیاز دهی خبرگان'!$L38=2,'طیف فازی'!$D$3,IF('امتیاز دهی خبرگان'!$L38=3,'طیف فازی'!$D$4,IF('امتیاز دهی خبرگان'!$L38=4,'طیف فازی'!$D$5,'طیف فازی'!$D$6)))))</f>
        <v>1</v>
      </c>
      <c r="AG38" s="17">
        <f>IF('امتیاز دهی خبرگان'!$M38=0,0,IF('امتیاز دهی خبرگان'!$M38=1,'طیف فازی'!$B$2,IF('امتیاز دهی خبرگان'!$M38=2,'طیف فازی'!$B$3,IF('امتیاز دهی خبرگان'!$M38=3,'طیف فازی'!$B$4,IF('امتیاز دهی خبرگان'!$M38=4,'طیف فازی'!$B$5,'طیف فازی'!$B$6)))))</f>
        <v>0.5</v>
      </c>
      <c r="AH38" s="18">
        <f>IF('امتیاز دهی خبرگان'!$M38=0,0,IF('امتیاز دهی خبرگان'!$M38=1,'طیف فازی'!$C$2,IF('امتیاز دهی خبرگان'!$M38=2,'طیف فازی'!$C$3,IF('امتیاز دهی خبرگان'!$M38=3,'طیف فازی'!$C$4,IF('امتیاز دهی خبرگان'!$M38=4,'طیف فازی'!$C$5,'طیف فازی'!$C$6)))))</f>
        <v>0.75</v>
      </c>
      <c r="AI38" s="19">
        <f>IF('امتیاز دهی خبرگان'!$M38=0,0,IF('امتیاز دهی خبرگان'!$M38=1,'طیف فازی'!$D$2,IF('امتیاز دهی خبرگان'!$M38=2,'طیف فازی'!$D$3,IF('امتیاز دهی خبرگان'!$M38=3,'طیف فازی'!$D$4,IF('امتیاز دهی خبرگان'!$M38=4,'طیف فازی'!$D$5,'طیف فازی'!$D$6)))))</f>
        <v>1</v>
      </c>
      <c r="AJ38" s="17">
        <f>IF('امتیاز دهی خبرگان'!$N38=0,0,IF('امتیاز دهی خبرگان'!$N38=1,'طیف فازی'!$B$2,IF('امتیاز دهی خبرگان'!$N38=2,'طیف فازی'!$B$3,IF('امتیاز دهی خبرگان'!$N38=3,'طیف فازی'!$B$4,IF('امتیاز دهی خبرگان'!$N38=4,'طیف فازی'!$B$5,'طیف فازی'!$B$6)))))</f>
        <v>0.5</v>
      </c>
      <c r="AK38" s="18">
        <f>IF('امتیاز دهی خبرگان'!$N38=0,0,IF('امتیاز دهی خبرگان'!$N38=1,'طیف فازی'!$C$2,IF('امتیاز دهی خبرگان'!$N38=2,'طیف فازی'!$C$3,IF('امتیاز دهی خبرگان'!$N38=3,'طیف فازی'!$C$4,IF('امتیاز دهی خبرگان'!$N38=4,'طیف فازی'!$C$5,'طیف فازی'!$C$6)))))</f>
        <v>0.75</v>
      </c>
      <c r="AL38" s="19">
        <f>IF('امتیاز دهی خبرگان'!$N38=0,0,IF('امتیاز دهی خبرگان'!$N38=1,'طیف فازی'!$D$2,IF('امتیاز دهی خبرگان'!$N38=2,'طیف فازی'!$D$3,IF('امتیاز دهی خبرگان'!$N38=3,'طیف فازی'!$D$4,IF('امتیاز دهی خبرگان'!$N38=4,'طیف فازی'!$D$5,'طیف فازی'!$D$6)))))</f>
        <v>1</v>
      </c>
      <c r="AM38" s="23">
        <f t="shared" si="1"/>
        <v>6</v>
      </c>
      <c r="AN38" s="23">
        <f t="shared" si="2"/>
        <v>9</v>
      </c>
      <c r="AO38" s="24">
        <f t="shared" si="3"/>
        <v>11.5</v>
      </c>
      <c r="AP38" s="25">
        <f t="shared" si="4"/>
        <v>0.5</v>
      </c>
      <c r="AQ38" s="23">
        <f t="shared" si="5"/>
        <v>0.75</v>
      </c>
      <c r="AR38" s="24">
        <f t="shared" si="6"/>
        <v>0.95833333333333337</v>
      </c>
      <c r="AS38" s="24">
        <f t="shared" si="7"/>
        <v>0.73611111111111116</v>
      </c>
      <c r="AT38" s="24" t="str">
        <f t="shared" si="8"/>
        <v>Pass</v>
      </c>
    </row>
    <row r="39" spans="2:46" ht="23.25" customHeight="1" thickBot="1" x14ac:dyDescent="0.85">
      <c r="B39" s="2">
        <v>37</v>
      </c>
      <c r="C39" s="17">
        <f>IF('امتیاز دهی خبرگان'!$C39=0,0,IF('امتیاز دهی خبرگان'!$C39=1,'طیف فازی'!$B$2,IF('امتیاز دهی خبرگان'!$C39=2,'طیف فازی'!$B$3,IF('امتیاز دهی خبرگان'!$C39=3,'طیف فازی'!$B$4,IF('امتیاز دهی خبرگان'!$C39=4,'طیف فازی'!$B$5,'طیف فازی'!$B$6)))))</f>
        <v>0.75</v>
      </c>
      <c r="D39" s="18">
        <f>IF('امتیاز دهی خبرگان'!$C39=0,0,IF('امتیاز دهی خبرگان'!$C39=1,'طیف فازی'!$C$2,IF('امتیاز دهی خبرگان'!$C39=2,'طیف فازی'!$C$3,IF('امتیاز دهی خبرگان'!$C39=3,'طیف فازی'!$C$4,IF('امتیاز دهی خبرگان'!$C39=4,'طیف فازی'!$C$5,'طیف فازی'!$C$6)))))</f>
        <v>1</v>
      </c>
      <c r="E39" s="19">
        <f>IF('امتیاز دهی خبرگان'!$C39=0,0,IF('امتیاز دهی خبرگان'!$C39=1,'طیف فازی'!$D$2,IF('امتیاز دهی خبرگان'!$C39=2,'طیف فازی'!$D$3,IF('امتیاز دهی خبرگان'!$C39=3,'طیف فازی'!$D$4,IF('امتیاز دهی خبرگان'!$C39=4,'طیف فازی'!$D$5,'طیف فازی'!$D$6)))))</f>
        <v>1</v>
      </c>
      <c r="F39" s="20">
        <f>IF('امتیاز دهی خبرگان'!$D39=0,0,IF('امتیاز دهی خبرگان'!$D39=1,'طیف فازی'!$B$2,IF('امتیاز دهی خبرگان'!$D39=2,'طیف فازی'!$B$3,IF('امتیاز دهی خبرگان'!$D39=3,'طیف فازی'!$B$4,IF('امتیاز دهی خبرگان'!$D39=4,'طیف فازی'!$B$5,'طیف فازی'!$B$6)))))</f>
        <v>0.5</v>
      </c>
      <c r="G39" s="21">
        <f>IF('امتیاز دهی خبرگان'!$D39=0,0,IF('امتیاز دهی خبرگان'!$D39=1,'طیف فازی'!$D$2,IF('امتیاز دهی خبرگان'!$D39=2,'طیف فازی'!$C$3,IF('امتیاز دهی خبرگان'!$D39=3,'طیف فازی'!$C$4,IF('امتیاز دهی خبرگان'!$D39=4,'طیف فازی'!$C$5,'طیف فازی'!$C$6)))))</f>
        <v>0.75</v>
      </c>
      <c r="H39" s="22">
        <f>IF('امتیاز دهی خبرگان'!$D39=0,0,IF('امتیاز دهی خبرگان'!$D39=1,'طیف فازی'!$D$2,IF('امتیاز دهی خبرگان'!$D39=2,'طیف فازی'!$D$3,IF('امتیاز دهی خبرگان'!$D39=3,'طیف فازی'!$D$4,IF('امتیاز دهی خبرگان'!$D39=4,'طیف فازی'!$D$5,'طیف فازی'!$D$6)))))</f>
        <v>1</v>
      </c>
      <c r="I39" s="17">
        <f>IF('امتیاز دهی خبرگان'!$E39=0,0,IF('امتیاز دهی خبرگان'!$E39=1,'طیف فازی'!$B$2,IF('امتیاز دهی خبرگان'!$E39=2,'طیف فازی'!$B$3,IF('امتیاز دهی خبرگان'!$E39=3,'طیف فازی'!$B$4,IF('امتیاز دهی خبرگان'!$E39=4,'طیف فازی'!$B$5,'طیف فازی'!$B$6)))))</f>
        <v>0.5</v>
      </c>
      <c r="J39" s="18">
        <f>IF('امتیاز دهی خبرگان'!$E39=0,0,IF('امتیاز دهی خبرگان'!$E39=1,'طیف فازی'!$C$2,IF('امتیاز دهی خبرگان'!$E39=2,'طیف فازی'!$C$3,IF('امتیاز دهی خبرگان'!$E39=3,'طیف فازی'!$C$4,IF('امتیاز دهی خبرگان'!$E39=4,'طیف فازی'!$C$5,'طیف فازی'!$C$6)))))</f>
        <v>0.75</v>
      </c>
      <c r="K39" s="19">
        <f>IF('امتیاز دهی خبرگان'!$E39=0,0,IF('امتیاز دهی خبرگان'!$E39=1,'طیف فازی'!$D$2,IF('امتیاز دهی خبرگان'!$E39=2,'طیف فازی'!$D$3,IF('امتیاز دهی خبرگان'!$E39=3,'طیف فازی'!$D$4,IF('امتیاز دهی خبرگان'!$E39=4,'طیف فازی'!$D$5,'طیف فازی'!$D$6)))))</f>
        <v>1</v>
      </c>
      <c r="L39" s="17">
        <f>IF('امتیاز دهی خبرگان'!$F39=0,0,IF('امتیاز دهی خبرگان'!$F39=1,'طیف فازی'!$B$2,IF('امتیاز دهی خبرگان'!$F39=2,'طیف فازی'!$B$3,IF('امتیاز دهی خبرگان'!$F39=3,'طیف فازی'!$B$4,IF('امتیاز دهی خبرگان'!$F39=4,'طیف فازی'!$B$5,'طیف فازی'!$B$6)))))</f>
        <v>0</v>
      </c>
      <c r="M39" s="18">
        <f>IF('امتیاز دهی خبرگان'!$F39=0,0,IF('امتیاز دهی خبرگان'!$F39=1,'طیف فازی'!$C$2,IF('امتیاز دهی خبرگان'!$F39=2,'طیف فازی'!$C$3,IF('امتیاز دهی خبرگان'!$F39=3,'طیف فازی'!$C$4,IF('امتیاز دهی خبرگان'!$F39=4,'طیف فازی'!$C$5,'طیف فازی'!$C$6)))))</f>
        <v>0.25</v>
      </c>
      <c r="N39" s="19">
        <f>IF('امتیاز دهی خبرگان'!$F39=0,0,IF('امتیاز دهی خبرگان'!$F39=1,'طیف فازی'!$D$2,IF('امتیاز دهی خبرگان'!$F39=2,'طیف فازی'!$D$3,IF('امتیاز دهی خبرگان'!$F39=3,'طیف فازی'!$D$4,IF('امتیاز دهی خبرگان'!$F39=4,'طیف فازی'!$D$5,'طیف فازی'!$D$6)))))</f>
        <v>0.5</v>
      </c>
      <c r="O39" s="17">
        <f>IF('امتیاز دهی خبرگان'!$G39=0,0,IF('امتیاز دهی خبرگان'!$G39=1,'طیف فازی'!$B$2,IF('امتیاز دهی خبرگان'!$G39=2,'طیف فازی'!$B$3,IF('امتیاز دهی خبرگان'!$G39=3,'طیف فازی'!$B$4,IF('امتیاز دهی خبرگان'!$G39=4,'طیف فازی'!$B$5,'طیف فازی'!$B$6)))))</f>
        <v>0.25</v>
      </c>
      <c r="P39" s="18">
        <f>IF('امتیاز دهی خبرگان'!$G39=0,0,IF('امتیاز دهی خبرگان'!$G39=1,'طیف فازی'!$C$2,IF('امتیاز دهی خبرگان'!$G39=2,'طیف فازی'!$C$3,IF('امتیاز دهی خبرگان'!$G39=3,'طیف فازی'!$C$4,IF('امتیاز دهی خبرگان'!$G39=4,'طیف فازی'!$C$5,'طیف فازی'!$C$6)))))</f>
        <v>0.5</v>
      </c>
      <c r="Q39" s="19">
        <f>IF('امتیاز دهی خبرگان'!$G39=0,0,IF('امتیاز دهی خبرگان'!$G39=1,'طیف فازی'!$D$2,IF('امتیاز دهی خبرگان'!$G39=2,'طیف فازی'!$D$3,IF('امتیاز دهی خبرگان'!$G39=3,'طیف فازی'!$D$4,IF('امتیاز دهی خبرگان'!$G39=4,'طیف فازی'!$D$5,'طیف فازی'!$D$6)))))</f>
        <v>0.75</v>
      </c>
      <c r="R39" s="17">
        <f>IF('امتیاز دهی خبرگان'!$H39=0,0,IF('امتیاز دهی خبرگان'!$H39=1,'طیف فازی'!$B$2,IF('امتیاز دهی خبرگان'!$H39=2,'طیف فازی'!$B$3,IF('امتیاز دهی خبرگان'!$H39=3,'طیف فازی'!$B$4,IF('امتیاز دهی خبرگان'!$H39=4,'طیف فازی'!$B$5,'طیف فازی'!$B$6)))))</f>
        <v>0.5</v>
      </c>
      <c r="S39" s="18">
        <f>IF('امتیاز دهی خبرگان'!$H39=0,0,IF('امتیاز دهی خبرگان'!$H39=1,'طیف فازی'!$C$2,IF('امتیاز دهی خبرگان'!$H39=2,'طیف فازی'!$C$3,IF('امتیاز دهی خبرگان'!$H39=3,'طیف فازی'!$C$4,IF('امتیاز دهی خبرگان'!$H39=4,'طیف فازی'!$C$5,'طیف فازی'!$C$6)))))</f>
        <v>0.75</v>
      </c>
      <c r="T39" s="19">
        <f>IF('امتیاز دهی خبرگان'!$H39=0,0,IF('امتیاز دهی خبرگان'!$H39=1,'طیف فازی'!$D$2,IF('امتیاز دهی خبرگان'!$H39=2,'طیف فازی'!$D$3,IF('امتیاز دهی خبرگان'!$H39=3,'طیف فازی'!$D$4,IF('امتیاز دهی خبرگان'!$H39=4,'طیف فازی'!$D$5,'طیف فازی'!$D$6)))))</f>
        <v>1</v>
      </c>
      <c r="U39" s="17">
        <f>IF('امتیاز دهی خبرگان'!$I39=0,0,IF('امتیاز دهی خبرگان'!$I39=1,'طیف فازی'!$B$2,IF('امتیاز دهی خبرگان'!$I39=2,'طیف فازی'!$B$3,IF('امتیاز دهی خبرگان'!$I39=3,'طیف فازی'!$B$4,IF('امتیاز دهی خبرگان'!$I39=4,'طیف فازی'!$B$5,'طیف فازی'!$B$6)))))</f>
        <v>0.5</v>
      </c>
      <c r="V39" s="18">
        <f>IF('امتیاز دهی خبرگان'!$I39=0,0,IF('امتیاز دهی خبرگان'!$I39=1,'طیف فازی'!$C$2,IF('امتیاز دهی خبرگان'!$I39=2,'طیف فازی'!$C$3,IF('امتیاز دهی خبرگان'!$I39=3,'طیف فازی'!$C$4,IF('امتیاز دهی خبرگان'!$I39=4,'طیف فازی'!$C$5,'طیف فازی'!$C$6)))))</f>
        <v>0.75</v>
      </c>
      <c r="W39" s="19">
        <f>IF('امتیاز دهی خبرگان'!$I39=0,0,IF('امتیاز دهی خبرگان'!$I39=1,'طیف فازی'!$D$2,IF('امتیاز دهی خبرگان'!$I39=2,'طیف فازی'!$D$3,IF('امتیاز دهی خبرگان'!$I39=3,'طیف فازی'!$D$4,IF('امتیاز دهی خبرگان'!$I39=4,'طیف فازی'!$D$5,'طیف فازی'!$D$6)))))</f>
        <v>1</v>
      </c>
      <c r="X39" s="17">
        <f>IF('امتیاز دهی خبرگان'!$J39=0,0,IF('امتیاز دهی خبرگان'!$J39=1,'طیف فازی'!$B$2,IF('امتیاز دهی خبرگان'!$J39=2,'طیف فازی'!$B$3,IF('امتیاز دهی خبرگان'!$J39=3,'طیف فازی'!$B$4,IF('امتیاز دهی خبرگان'!$J39=4,'طیف فازی'!$B$5,'طیف فازی'!$B$6)))))</f>
        <v>0.5</v>
      </c>
      <c r="Y39" s="18">
        <f>IF('امتیاز دهی خبرگان'!$J39=0,0,IF('امتیاز دهی خبرگان'!$J39=1,'طیف فازی'!$C$2,IF('امتیاز دهی خبرگان'!$J39=2,'طیف فازی'!$C$3,IF('امتیاز دهی خبرگان'!$J39=3,'طیف فازی'!$C$4,IF('امتیاز دهی خبرگان'!$J39=4,'طیف فازی'!$C$5,'طیف فازی'!$C$6)))))</f>
        <v>0.75</v>
      </c>
      <c r="Z39" s="19">
        <f>IF('امتیاز دهی خبرگان'!$J39=0,0,IF('امتیاز دهی خبرگان'!$J39=1,'طیف فازی'!$D$2,IF('امتیاز دهی خبرگان'!$J39=2,'طیف فازی'!$D$3,IF('امتیاز دهی خبرگان'!$J39=3,'طیف فازی'!$D$4,IF('امتیاز دهی خبرگان'!$J39=4,'طیف فازی'!$D$5,'طیف فازی'!$D$6)))))</f>
        <v>1</v>
      </c>
      <c r="AA39" s="17">
        <f>IF('امتیاز دهی خبرگان'!$K39=0,0,IF('امتیاز دهی خبرگان'!$K39=1,'طیف فازی'!$B$2,IF('امتیاز دهی خبرگان'!$K39=2,'طیف فازی'!$B$3,IF('امتیاز دهی خبرگان'!$K39=3,'طیف فازی'!$B$4,IF('امتیاز دهی خبرگان'!$K39=4,'طیف فازی'!$B$5,'طیف فازی'!$B$6)))))</f>
        <v>0.75</v>
      </c>
      <c r="AB39" s="18">
        <f>IF('امتیاز دهی خبرگان'!$K39=0,0,IF('امتیاز دهی خبرگان'!$K39=1,'طیف فازی'!$C$2,IF('امتیاز دهی خبرگان'!$K39=2,'طیف فازی'!$C$3,IF('امتیاز دهی خبرگان'!$K39=3,'طیف فازی'!$C$4,IF('امتیاز دهی خبرگان'!$K39=4,'طیف فازی'!$C$5,'طیف فازی'!$C$6)))))</f>
        <v>1</v>
      </c>
      <c r="AC39" s="19">
        <f>IF('امتیاز دهی خبرگان'!$K39=0,0,IF('امتیاز دهی خبرگان'!$K39=1,'طیف فازی'!$D$2,IF('امتیاز دهی خبرگان'!$K39=2,'طیف فازی'!$D$3,IF('امتیاز دهی خبرگان'!$K39=3,'طیف فازی'!$D$4,IF('امتیاز دهی خبرگان'!$K39=4,'طیف فازی'!$D$5,'طیف فازی'!$D$6)))))</f>
        <v>1</v>
      </c>
      <c r="AD39" s="17">
        <f>IF('امتیاز دهی خبرگان'!$L39=0,0,IF('امتیاز دهی خبرگان'!$L39=1,'طیف فازی'!$B$2,IF('امتیاز دهی خبرگان'!$L39=2,'طیف فازی'!$B$3,IF('امتیاز دهی خبرگان'!$L39=3,'طیف فازی'!$B$4,IF('امتیاز دهی خبرگان'!$L39=4,'طیف فازی'!$B$5,'طیف فازی'!$B$6)))))</f>
        <v>0.75</v>
      </c>
      <c r="AE39" s="18">
        <f>IF('امتیاز دهی خبرگان'!$L39=0,0,IF('امتیاز دهی خبرگان'!$L39=1,'طیف فازی'!$C$2,IF('امتیاز دهی خبرگان'!$L39=2,'طیف فازی'!$C$3,IF('امتیاز دهی خبرگان'!$L39=3,'طیف فازی'!$C$4,IF('امتیاز دهی خبرگان'!$L39=4,'طیف فازی'!$C$5,'طیف فازی'!$C$6)))))</f>
        <v>1</v>
      </c>
      <c r="AF39" s="19">
        <f>IF('امتیاز دهی خبرگان'!$L39=0,0,IF('امتیاز دهی خبرگان'!$L39=1,'طیف فازی'!$D$2,IF('امتیاز دهی خبرگان'!$L39=2,'طیف فازی'!$D$3,IF('امتیاز دهی خبرگان'!$L39=3,'طیف فازی'!$D$4,IF('امتیاز دهی خبرگان'!$L39=4,'طیف فازی'!$D$5,'طیف فازی'!$D$6)))))</f>
        <v>1</v>
      </c>
      <c r="AG39" s="17">
        <f>IF('امتیاز دهی خبرگان'!$M39=0,0,IF('امتیاز دهی خبرگان'!$M39=1,'طیف فازی'!$B$2,IF('امتیاز دهی خبرگان'!$M39=2,'طیف فازی'!$B$3,IF('امتیاز دهی خبرگان'!$M39=3,'طیف فازی'!$B$4,IF('امتیاز دهی خبرگان'!$M39=4,'طیف فازی'!$B$5,'طیف فازی'!$B$6)))))</f>
        <v>0.75</v>
      </c>
      <c r="AH39" s="18">
        <f>IF('امتیاز دهی خبرگان'!$M39=0,0,IF('امتیاز دهی خبرگان'!$M39=1,'طیف فازی'!$C$2,IF('امتیاز دهی خبرگان'!$M39=2,'طیف فازی'!$C$3,IF('امتیاز دهی خبرگان'!$M39=3,'طیف فازی'!$C$4,IF('امتیاز دهی خبرگان'!$M39=4,'طیف فازی'!$C$5,'طیف فازی'!$C$6)))))</f>
        <v>1</v>
      </c>
      <c r="AI39" s="19">
        <f>IF('امتیاز دهی خبرگان'!$M39=0,0,IF('امتیاز دهی خبرگان'!$M39=1,'طیف فازی'!$D$2,IF('امتیاز دهی خبرگان'!$M39=2,'طیف فازی'!$D$3,IF('امتیاز دهی خبرگان'!$M39=3,'طیف فازی'!$D$4,IF('امتیاز دهی خبرگان'!$M39=4,'طیف فازی'!$D$5,'طیف فازی'!$D$6)))))</f>
        <v>1</v>
      </c>
      <c r="AJ39" s="17">
        <f>IF('امتیاز دهی خبرگان'!$N39=0,0,IF('امتیاز دهی خبرگان'!$N39=1,'طیف فازی'!$B$2,IF('امتیاز دهی خبرگان'!$N39=2,'طیف فازی'!$B$3,IF('امتیاز دهی خبرگان'!$N39=3,'طیف فازی'!$B$4,IF('امتیاز دهی خبرگان'!$N39=4,'طیف فازی'!$B$5,'طیف فازی'!$B$6)))))</f>
        <v>0.75</v>
      </c>
      <c r="AK39" s="18">
        <f>IF('امتیاز دهی خبرگان'!$N39=0,0,IF('امتیاز دهی خبرگان'!$N39=1,'طیف فازی'!$C$2,IF('امتیاز دهی خبرگان'!$N39=2,'طیف فازی'!$C$3,IF('امتیاز دهی خبرگان'!$N39=3,'طیف فازی'!$C$4,IF('امتیاز دهی خبرگان'!$N39=4,'طیف فازی'!$C$5,'طیف فازی'!$C$6)))))</f>
        <v>1</v>
      </c>
      <c r="AL39" s="19">
        <f>IF('امتیاز دهی خبرگان'!$N39=0,0,IF('امتیاز دهی خبرگان'!$N39=1,'طیف فازی'!$D$2,IF('امتیاز دهی خبرگان'!$N39=2,'طیف فازی'!$D$3,IF('امتیاز دهی خبرگان'!$N39=3,'طیف فازی'!$D$4,IF('امتیاز دهی خبرگان'!$N39=4,'طیف فازی'!$D$5,'طیف فازی'!$D$6)))))</f>
        <v>1</v>
      </c>
      <c r="AM39" s="23">
        <f t="shared" si="1"/>
        <v>6.5</v>
      </c>
      <c r="AN39" s="23">
        <f t="shared" si="2"/>
        <v>9.5</v>
      </c>
      <c r="AO39" s="24">
        <f t="shared" si="3"/>
        <v>11.25</v>
      </c>
      <c r="AP39" s="25">
        <f t="shared" si="4"/>
        <v>0.54166666666666663</v>
      </c>
      <c r="AQ39" s="23">
        <f t="shared" si="5"/>
        <v>0.79166666666666663</v>
      </c>
      <c r="AR39" s="24">
        <f t="shared" si="6"/>
        <v>0.9375</v>
      </c>
      <c r="AS39" s="24">
        <f t="shared" si="7"/>
        <v>0.75694444444444431</v>
      </c>
      <c r="AT39" s="24" t="str">
        <f t="shared" si="8"/>
        <v>Pass</v>
      </c>
    </row>
    <row r="40" spans="2:46" ht="23.25" customHeight="1" thickBot="1" x14ac:dyDescent="0.85">
      <c r="B40" s="2">
        <v>38</v>
      </c>
      <c r="C40" s="17">
        <f>IF('امتیاز دهی خبرگان'!$C40=0,0,IF('امتیاز دهی خبرگان'!$C40=1,'طیف فازی'!$B$2,IF('امتیاز دهی خبرگان'!$C40=2,'طیف فازی'!$B$3,IF('امتیاز دهی خبرگان'!$C40=3,'طیف فازی'!$B$4,IF('امتیاز دهی خبرگان'!$C40=4,'طیف فازی'!$B$5,'طیف فازی'!$B$6)))))</f>
        <v>0.75</v>
      </c>
      <c r="D40" s="18">
        <f>IF('امتیاز دهی خبرگان'!$C40=0,0,IF('امتیاز دهی خبرگان'!$C40=1,'طیف فازی'!$C$2,IF('امتیاز دهی خبرگان'!$C40=2,'طیف فازی'!$C$3,IF('امتیاز دهی خبرگان'!$C40=3,'طیف فازی'!$C$4,IF('امتیاز دهی خبرگان'!$C40=4,'طیف فازی'!$C$5,'طیف فازی'!$C$6)))))</f>
        <v>1</v>
      </c>
      <c r="E40" s="19">
        <f>IF('امتیاز دهی خبرگان'!$C40=0,0,IF('امتیاز دهی خبرگان'!$C40=1,'طیف فازی'!$D$2,IF('امتیاز دهی خبرگان'!$C40=2,'طیف فازی'!$D$3,IF('امتیاز دهی خبرگان'!$C40=3,'طیف فازی'!$D$4,IF('امتیاز دهی خبرگان'!$C40=4,'طیف فازی'!$D$5,'طیف فازی'!$D$6)))))</f>
        <v>1</v>
      </c>
      <c r="F40" s="20">
        <f>IF('امتیاز دهی خبرگان'!$D40=0,0,IF('امتیاز دهی خبرگان'!$D40=1,'طیف فازی'!$B$2,IF('امتیاز دهی خبرگان'!$D40=2,'طیف فازی'!$B$3,IF('امتیاز دهی خبرگان'!$D40=3,'طیف فازی'!$B$4,IF('امتیاز دهی خبرگان'!$D40=4,'طیف فازی'!$B$5,'طیف فازی'!$B$6)))))</f>
        <v>0.25</v>
      </c>
      <c r="G40" s="21">
        <f>IF('امتیاز دهی خبرگان'!$D40=0,0,IF('امتیاز دهی خبرگان'!$D40=1,'طیف فازی'!$D$2,IF('امتیاز دهی خبرگان'!$D40=2,'طیف فازی'!$C$3,IF('امتیاز دهی خبرگان'!$D40=3,'طیف فازی'!$C$4,IF('امتیاز دهی خبرگان'!$D40=4,'طیف فازی'!$C$5,'طیف فازی'!$C$6)))))</f>
        <v>0.5</v>
      </c>
      <c r="H40" s="22">
        <f>IF('امتیاز دهی خبرگان'!$D40=0,0,IF('امتیاز دهی خبرگان'!$D40=1,'طیف فازی'!$D$2,IF('امتیاز دهی خبرگان'!$D40=2,'طیف فازی'!$D$3,IF('امتیاز دهی خبرگان'!$D40=3,'طیف فازی'!$D$4,IF('امتیاز دهی خبرگان'!$D40=4,'طیف فازی'!$D$5,'طیف فازی'!$D$6)))))</f>
        <v>0.75</v>
      </c>
      <c r="I40" s="17">
        <f>IF('امتیاز دهی خبرگان'!$E40=0,0,IF('امتیاز دهی خبرگان'!$E40=1,'طیف فازی'!$B$2,IF('امتیاز دهی خبرگان'!$E40=2,'طیف فازی'!$B$3,IF('امتیاز دهی خبرگان'!$E40=3,'طیف فازی'!$B$4,IF('امتیاز دهی خبرگان'!$E40=4,'طیف فازی'!$B$5,'طیف فازی'!$B$6)))))</f>
        <v>0.25</v>
      </c>
      <c r="J40" s="18">
        <f>IF('امتیاز دهی خبرگان'!$E40=0,0,IF('امتیاز دهی خبرگان'!$E40=1,'طیف فازی'!$C$2,IF('امتیاز دهی خبرگان'!$E40=2,'طیف فازی'!$C$3,IF('امتیاز دهی خبرگان'!$E40=3,'طیف فازی'!$C$4,IF('امتیاز دهی خبرگان'!$E40=4,'طیف فازی'!$C$5,'طیف فازی'!$C$6)))))</f>
        <v>0.5</v>
      </c>
      <c r="K40" s="19">
        <f>IF('امتیاز دهی خبرگان'!$E40=0,0,IF('امتیاز دهی خبرگان'!$E40=1,'طیف فازی'!$D$2,IF('امتیاز دهی خبرگان'!$E40=2,'طیف فازی'!$D$3,IF('امتیاز دهی خبرگان'!$E40=3,'طیف فازی'!$D$4,IF('امتیاز دهی خبرگان'!$E40=4,'طیف فازی'!$D$5,'طیف فازی'!$D$6)))))</f>
        <v>0.75</v>
      </c>
      <c r="L40" s="17">
        <f>IF('امتیاز دهی خبرگان'!$F40=0,0,IF('امتیاز دهی خبرگان'!$F40=1,'طیف فازی'!$B$2,IF('امتیاز دهی خبرگان'!$F40=2,'طیف فازی'!$B$3,IF('امتیاز دهی خبرگان'!$F40=3,'طیف فازی'!$B$4,IF('امتیاز دهی خبرگان'!$F40=4,'طیف فازی'!$B$5,'طیف فازی'!$B$6)))))</f>
        <v>0.75</v>
      </c>
      <c r="M40" s="18">
        <f>IF('امتیاز دهی خبرگان'!$F40=0,0,IF('امتیاز دهی خبرگان'!$F40=1,'طیف فازی'!$C$2,IF('امتیاز دهی خبرگان'!$F40=2,'طیف فازی'!$C$3,IF('امتیاز دهی خبرگان'!$F40=3,'طیف فازی'!$C$4,IF('امتیاز دهی خبرگان'!$F40=4,'طیف فازی'!$C$5,'طیف فازی'!$C$6)))))</f>
        <v>1</v>
      </c>
      <c r="N40" s="19">
        <f>IF('امتیاز دهی خبرگان'!$F40=0,0,IF('امتیاز دهی خبرگان'!$F40=1,'طیف فازی'!$D$2,IF('امتیاز دهی خبرگان'!$F40=2,'طیف فازی'!$D$3,IF('امتیاز دهی خبرگان'!$F40=3,'طیف فازی'!$D$4,IF('امتیاز دهی خبرگان'!$F40=4,'طیف فازی'!$D$5,'طیف فازی'!$D$6)))))</f>
        <v>1</v>
      </c>
      <c r="O40" s="17">
        <f>IF('امتیاز دهی خبرگان'!$G40=0,0,IF('امتیاز دهی خبرگان'!$G40=1,'طیف فازی'!$B$2,IF('امتیاز دهی خبرگان'!$G40=2,'طیف فازی'!$B$3,IF('امتیاز دهی خبرگان'!$G40=3,'طیف فازی'!$B$4,IF('امتیاز دهی خبرگان'!$G40=4,'طیف فازی'!$B$5,'طیف فازی'!$B$6)))))</f>
        <v>0</v>
      </c>
      <c r="P40" s="18">
        <f>IF('امتیاز دهی خبرگان'!$G40=0,0,IF('امتیاز دهی خبرگان'!$G40=1,'طیف فازی'!$C$2,IF('امتیاز دهی خبرگان'!$G40=2,'طیف فازی'!$C$3,IF('امتیاز دهی خبرگان'!$G40=3,'طیف فازی'!$C$4,IF('امتیاز دهی خبرگان'!$G40=4,'طیف فازی'!$C$5,'طیف فازی'!$C$6)))))</f>
        <v>0.25</v>
      </c>
      <c r="Q40" s="19">
        <f>IF('امتیاز دهی خبرگان'!$G40=0,0,IF('امتیاز دهی خبرگان'!$G40=1,'طیف فازی'!$D$2,IF('امتیاز دهی خبرگان'!$G40=2,'طیف فازی'!$D$3,IF('امتیاز دهی خبرگان'!$G40=3,'طیف فازی'!$D$4,IF('امتیاز دهی خبرگان'!$G40=4,'طیف فازی'!$D$5,'طیف فازی'!$D$6)))))</f>
        <v>0.5</v>
      </c>
      <c r="R40" s="17">
        <f>IF('امتیاز دهی خبرگان'!$H40=0,0,IF('امتیاز دهی خبرگان'!$H40=1,'طیف فازی'!$B$2,IF('امتیاز دهی خبرگان'!$H40=2,'طیف فازی'!$B$3,IF('امتیاز دهی خبرگان'!$H40=3,'طیف فازی'!$B$4,IF('امتیاز دهی خبرگان'!$H40=4,'طیف فازی'!$B$5,'طیف فازی'!$B$6)))))</f>
        <v>0.25</v>
      </c>
      <c r="S40" s="18">
        <f>IF('امتیاز دهی خبرگان'!$H40=0,0,IF('امتیاز دهی خبرگان'!$H40=1,'طیف فازی'!$C$2,IF('امتیاز دهی خبرگان'!$H40=2,'طیف فازی'!$C$3,IF('امتیاز دهی خبرگان'!$H40=3,'طیف فازی'!$C$4,IF('امتیاز دهی خبرگان'!$H40=4,'طیف فازی'!$C$5,'طیف فازی'!$C$6)))))</f>
        <v>0.5</v>
      </c>
      <c r="T40" s="19">
        <f>IF('امتیاز دهی خبرگان'!$H40=0,0,IF('امتیاز دهی خبرگان'!$H40=1,'طیف فازی'!$D$2,IF('امتیاز دهی خبرگان'!$H40=2,'طیف فازی'!$D$3,IF('امتیاز دهی خبرگان'!$H40=3,'طیف فازی'!$D$4,IF('امتیاز دهی خبرگان'!$H40=4,'طیف فازی'!$D$5,'طیف فازی'!$D$6)))))</f>
        <v>0.75</v>
      </c>
      <c r="U40" s="17">
        <f>IF('امتیاز دهی خبرگان'!$I40=0,0,IF('امتیاز دهی خبرگان'!$I40=1,'طیف فازی'!$B$2,IF('امتیاز دهی خبرگان'!$I40=2,'طیف فازی'!$B$3,IF('امتیاز دهی خبرگان'!$I40=3,'طیف فازی'!$B$4,IF('امتیاز دهی خبرگان'!$I40=4,'طیف فازی'!$B$5,'طیف فازی'!$B$6)))))</f>
        <v>0.75</v>
      </c>
      <c r="V40" s="18">
        <f>IF('امتیاز دهی خبرگان'!$I40=0,0,IF('امتیاز دهی خبرگان'!$I40=1,'طیف فازی'!$C$2,IF('امتیاز دهی خبرگان'!$I40=2,'طیف فازی'!$C$3,IF('امتیاز دهی خبرگان'!$I40=3,'طیف فازی'!$C$4,IF('امتیاز دهی خبرگان'!$I40=4,'طیف فازی'!$C$5,'طیف فازی'!$C$6)))))</f>
        <v>1</v>
      </c>
      <c r="W40" s="19">
        <f>IF('امتیاز دهی خبرگان'!$I40=0,0,IF('امتیاز دهی خبرگان'!$I40=1,'طیف فازی'!$D$2,IF('امتیاز دهی خبرگان'!$I40=2,'طیف فازی'!$D$3,IF('امتیاز دهی خبرگان'!$I40=3,'طیف فازی'!$D$4,IF('امتیاز دهی خبرگان'!$I40=4,'طیف فازی'!$D$5,'طیف فازی'!$D$6)))))</f>
        <v>1</v>
      </c>
      <c r="X40" s="17">
        <f>IF('امتیاز دهی خبرگان'!$J40=0,0,IF('امتیاز دهی خبرگان'!$J40=1,'طیف فازی'!$B$2,IF('امتیاز دهی خبرگان'!$J40=2,'طیف فازی'!$B$3,IF('امتیاز دهی خبرگان'!$J40=3,'طیف فازی'!$B$4,IF('امتیاز دهی خبرگان'!$J40=4,'طیف فازی'!$B$5,'طیف فازی'!$B$6)))))</f>
        <v>0.75</v>
      </c>
      <c r="Y40" s="18">
        <f>IF('امتیاز دهی خبرگان'!$J40=0,0,IF('امتیاز دهی خبرگان'!$J40=1,'طیف فازی'!$C$2,IF('امتیاز دهی خبرگان'!$J40=2,'طیف فازی'!$C$3,IF('امتیاز دهی خبرگان'!$J40=3,'طیف فازی'!$C$4,IF('امتیاز دهی خبرگان'!$J40=4,'طیف فازی'!$C$5,'طیف فازی'!$C$6)))))</f>
        <v>1</v>
      </c>
      <c r="Z40" s="19">
        <f>IF('امتیاز دهی خبرگان'!$J40=0,0,IF('امتیاز دهی خبرگان'!$J40=1,'طیف فازی'!$D$2,IF('امتیاز دهی خبرگان'!$J40=2,'طیف فازی'!$D$3,IF('امتیاز دهی خبرگان'!$J40=3,'طیف فازی'!$D$4,IF('امتیاز دهی خبرگان'!$J40=4,'طیف فازی'!$D$5,'طیف فازی'!$D$6)))))</f>
        <v>1</v>
      </c>
      <c r="AA40" s="17">
        <f>IF('امتیاز دهی خبرگان'!$K40=0,0,IF('امتیاز دهی خبرگان'!$K40=1,'طیف فازی'!$B$2,IF('امتیاز دهی خبرگان'!$K40=2,'طیف فازی'!$B$3,IF('امتیاز دهی خبرگان'!$K40=3,'طیف فازی'!$B$4,IF('امتیاز دهی خبرگان'!$K40=4,'طیف فازی'!$B$5,'طیف فازی'!$B$6)))))</f>
        <v>0.75</v>
      </c>
      <c r="AB40" s="18">
        <f>IF('امتیاز دهی خبرگان'!$K40=0,0,IF('امتیاز دهی خبرگان'!$K40=1,'طیف فازی'!$C$2,IF('امتیاز دهی خبرگان'!$K40=2,'طیف فازی'!$C$3,IF('امتیاز دهی خبرگان'!$K40=3,'طیف فازی'!$C$4,IF('امتیاز دهی خبرگان'!$K40=4,'طیف فازی'!$C$5,'طیف فازی'!$C$6)))))</f>
        <v>1</v>
      </c>
      <c r="AC40" s="19">
        <f>IF('امتیاز دهی خبرگان'!$K40=0,0,IF('امتیاز دهی خبرگان'!$K40=1,'طیف فازی'!$D$2,IF('امتیاز دهی خبرگان'!$K40=2,'طیف فازی'!$D$3,IF('امتیاز دهی خبرگان'!$K40=3,'طیف فازی'!$D$4,IF('امتیاز دهی خبرگان'!$K40=4,'طیف فازی'!$D$5,'طیف فازی'!$D$6)))))</f>
        <v>1</v>
      </c>
      <c r="AD40" s="17">
        <f>IF('امتیاز دهی خبرگان'!$L40=0,0,IF('امتیاز دهی خبرگان'!$L40=1,'طیف فازی'!$B$2,IF('امتیاز دهی خبرگان'!$L40=2,'طیف فازی'!$B$3,IF('امتیاز دهی خبرگان'!$L40=3,'طیف فازی'!$B$4,IF('امتیاز دهی خبرگان'!$L40=4,'طیف فازی'!$B$5,'طیف فازی'!$B$6)))))</f>
        <v>0.75</v>
      </c>
      <c r="AE40" s="18">
        <f>IF('امتیاز دهی خبرگان'!$L40=0,0,IF('امتیاز دهی خبرگان'!$L40=1,'طیف فازی'!$C$2,IF('امتیاز دهی خبرگان'!$L40=2,'طیف فازی'!$C$3,IF('امتیاز دهی خبرگان'!$L40=3,'طیف فازی'!$C$4,IF('امتیاز دهی خبرگان'!$L40=4,'طیف فازی'!$C$5,'طیف فازی'!$C$6)))))</f>
        <v>1</v>
      </c>
      <c r="AF40" s="19">
        <f>IF('امتیاز دهی خبرگان'!$L40=0,0,IF('امتیاز دهی خبرگان'!$L40=1,'طیف فازی'!$D$2,IF('امتیاز دهی خبرگان'!$L40=2,'طیف فازی'!$D$3,IF('امتیاز دهی خبرگان'!$L40=3,'طیف فازی'!$D$4,IF('امتیاز دهی خبرگان'!$L40=4,'طیف فازی'!$D$5,'طیف فازی'!$D$6)))))</f>
        <v>1</v>
      </c>
      <c r="AG40" s="17">
        <f>IF('امتیاز دهی خبرگان'!$M40=0,0,IF('امتیاز دهی خبرگان'!$M40=1,'طیف فازی'!$B$2,IF('امتیاز دهی خبرگان'!$M40=2,'طیف فازی'!$B$3,IF('امتیاز دهی خبرگان'!$M40=3,'طیف فازی'!$B$4,IF('امتیاز دهی خبرگان'!$M40=4,'طیف فازی'!$B$5,'طیف فازی'!$B$6)))))</f>
        <v>0.5</v>
      </c>
      <c r="AH40" s="18">
        <f>IF('امتیاز دهی خبرگان'!$M40=0,0,IF('امتیاز دهی خبرگان'!$M40=1,'طیف فازی'!$C$2,IF('امتیاز دهی خبرگان'!$M40=2,'طیف فازی'!$C$3,IF('امتیاز دهی خبرگان'!$M40=3,'طیف فازی'!$C$4,IF('امتیاز دهی خبرگان'!$M40=4,'طیف فازی'!$C$5,'طیف فازی'!$C$6)))))</f>
        <v>0.75</v>
      </c>
      <c r="AI40" s="19">
        <f>IF('امتیاز دهی خبرگان'!$M40=0,0,IF('امتیاز دهی خبرگان'!$M40=1,'طیف فازی'!$D$2,IF('امتیاز دهی خبرگان'!$M40=2,'طیف فازی'!$D$3,IF('امتیاز دهی خبرگان'!$M40=3,'طیف فازی'!$D$4,IF('امتیاز دهی خبرگان'!$M40=4,'طیف فازی'!$D$5,'طیف فازی'!$D$6)))))</f>
        <v>1</v>
      </c>
      <c r="AJ40" s="17">
        <f>IF('امتیاز دهی خبرگان'!$N40=0,0,IF('امتیاز دهی خبرگان'!$N40=1,'طیف فازی'!$B$2,IF('امتیاز دهی خبرگان'!$N40=2,'طیف فازی'!$B$3,IF('امتیاز دهی خبرگان'!$N40=3,'طیف فازی'!$B$4,IF('امتیاز دهی خبرگان'!$N40=4,'طیف فازی'!$B$5,'طیف فازی'!$B$6)))))</f>
        <v>0.5</v>
      </c>
      <c r="AK40" s="18">
        <f>IF('امتیاز دهی خبرگان'!$N40=0,0,IF('امتیاز دهی خبرگان'!$N40=1,'طیف فازی'!$C$2,IF('امتیاز دهی خبرگان'!$N40=2,'طیف فازی'!$C$3,IF('امتیاز دهی خبرگان'!$N40=3,'طیف فازی'!$C$4,IF('امتیاز دهی خبرگان'!$N40=4,'طیف فازی'!$C$5,'طیف فازی'!$C$6)))))</f>
        <v>0.75</v>
      </c>
      <c r="AL40" s="19">
        <f>IF('امتیاز دهی خبرگان'!$N40=0,0,IF('امتیاز دهی خبرگان'!$N40=1,'طیف فازی'!$D$2,IF('امتیاز دهی خبرگان'!$N40=2,'طیف فازی'!$D$3,IF('امتیاز دهی خبرگان'!$N40=3,'طیف فازی'!$D$4,IF('امتیاز دهی خبرگان'!$N40=4,'طیف فازی'!$D$5,'طیف فازی'!$D$6)))))</f>
        <v>1</v>
      </c>
      <c r="AM40" s="23">
        <f t="shared" si="1"/>
        <v>6.25</v>
      </c>
      <c r="AN40" s="23">
        <f t="shared" si="2"/>
        <v>9.25</v>
      </c>
      <c r="AO40" s="24">
        <f t="shared" si="3"/>
        <v>10.75</v>
      </c>
      <c r="AP40" s="25">
        <f t="shared" si="4"/>
        <v>0.52083333333333337</v>
      </c>
      <c r="AQ40" s="23">
        <f t="shared" si="5"/>
        <v>0.77083333333333337</v>
      </c>
      <c r="AR40" s="24">
        <f t="shared" si="6"/>
        <v>0.89583333333333337</v>
      </c>
      <c r="AS40" s="24">
        <f t="shared" si="7"/>
        <v>0.72916666666666663</v>
      </c>
      <c r="AT40" s="24" t="str">
        <f t="shared" si="8"/>
        <v>Pass</v>
      </c>
    </row>
    <row r="41" spans="2:46" ht="23.25" customHeight="1" thickBot="1" x14ac:dyDescent="0.85">
      <c r="B41" s="2">
        <v>39</v>
      </c>
      <c r="C41" s="17">
        <f>IF('امتیاز دهی خبرگان'!$C41=0,0,IF('امتیاز دهی خبرگان'!$C41=1,'طیف فازی'!$B$2,IF('امتیاز دهی خبرگان'!$C41=2,'طیف فازی'!$B$3,IF('امتیاز دهی خبرگان'!$C41=3,'طیف فازی'!$B$4,IF('امتیاز دهی خبرگان'!$C41=4,'طیف فازی'!$B$5,'طیف فازی'!$B$6)))))</f>
        <v>0.75</v>
      </c>
      <c r="D41" s="18">
        <f>IF('امتیاز دهی خبرگان'!$C41=0,0,IF('امتیاز دهی خبرگان'!$C41=1,'طیف فازی'!$C$2,IF('امتیاز دهی خبرگان'!$C41=2,'طیف فازی'!$C$3,IF('امتیاز دهی خبرگان'!$C41=3,'طیف فازی'!$C$4,IF('امتیاز دهی خبرگان'!$C41=4,'طیف فازی'!$C$5,'طیف فازی'!$C$6)))))</f>
        <v>1</v>
      </c>
      <c r="E41" s="19">
        <f>IF('امتیاز دهی خبرگان'!$C41=0,0,IF('امتیاز دهی خبرگان'!$C41=1,'طیف فازی'!$D$2,IF('امتیاز دهی خبرگان'!$C41=2,'طیف فازی'!$D$3,IF('امتیاز دهی خبرگان'!$C41=3,'طیف فازی'!$D$4,IF('امتیاز دهی خبرگان'!$C41=4,'طیف فازی'!$D$5,'طیف فازی'!$D$6)))))</f>
        <v>1</v>
      </c>
      <c r="F41" s="20">
        <f>IF('امتیاز دهی خبرگان'!$D41=0,0,IF('امتیاز دهی خبرگان'!$D41=1,'طیف فازی'!$B$2,IF('امتیاز دهی خبرگان'!$D41=2,'طیف فازی'!$B$3,IF('امتیاز دهی خبرگان'!$D41=3,'طیف فازی'!$B$4,IF('امتیاز دهی خبرگان'!$D41=4,'طیف فازی'!$B$5,'طیف فازی'!$B$6)))))</f>
        <v>0.5</v>
      </c>
      <c r="G41" s="21">
        <f>IF('امتیاز دهی خبرگان'!$D41=0,0,IF('امتیاز دهی خبرگان'!$D41=1,'طیف فازی'!$D$2,IF('امتیاز دهی خبرگان'!$D41=2,'طیف فازی'!$C$3,IF('امتیاز دهی خبرگان'!$D41=3,'طیف فازی'!$C$4,IF('امتیاز دهی خبرگان'!$D41=4,'طیف فازی'!$C$5,'طیف فازی'!$C$6)))))</f>
        <v>0.75</v>
      </c>
      <c r="H41" s="22">
        <f>IF('امتیاز دهی خبرگان'!$D41=0,0,IF('امتیاز دهی خبرگان'!$D41=1,'طیف فازی'!$D$2,IF('امتیاز دهی خبرگان'!$D41=2,'طیف فازی'!$D$3,IF('امتیاز دهی خبرگان'!$D41=3,'طیف فازی'!$D$4,IF('امتیاز دهی خبرگان'!$D41=4,'طیف فازی'!$D$5,'طیف فازی'!$D$6)))))</f>
        <v>1</v>
      </c>
      <c r="I41" s="17">
        <f>IF('امتیاز دهی خبرگان'!$E41=0,0,IF('امتیاز دهی خبرگان'!$E41=1,'طیف فازی'!$B$2,IF('امتیاز دهی خبرگان'!$E41=2,'طیف فازی'!$B$3,IF('امتیاز دهی خبرگان'!$E41=3,'طیف فازی'!$B$4,IF('امتیاز دهی خبرگان'!$E41=4,'طیف فازی'!$B$5,'طیف فازی'!$B$6)))))</f>
        <v>0.75</v>
      </c>
      <c r="J41" s="18">
        <f>IF('امتیاز دهی خبرگان'!$E41=0,0,IF('امتیاز دهی خبرگان'!$E41=1,'طیف فازی'!$C$2,IF('امتیاز دهی خبرگان'!$E41=2,'طیف فازی'!$C$3,IF('امتیاز دهی خبرگان'!$E41=3,'طیف فازی'!$C$4,IF('امتیاز دهی خبرگان'!$E41=4,'طیف فازی'!$C$5,'طیف فازی'!$C$6)))))</f>
        <v>1</v>
      </c>
      <c r="K41" s="19">
        <f>IF('امتیاز دهی خبرگان'!$E41=0,0,IF('امتیاز دهی خبرگان'!$E41=1,'طیف فازی'!$D$2,IF('امتیاز دهی خبرگان'!$E41=2,'طیف فازی'!$D$3,IF('امتیاز دهی خبرگان'!$E41=3,'طیف فازی'!$D$4,IF('امتیاز دهی خبرگان'!$E41=4,'طیف فازی'!$D$5,'طیف فازی'!$D$6)))))</f>
        <v>1</v>
      </c>
      <c r="L41" s="17">
        <f>IF('امتیاز دهی خبرگان'!$F41=0,0,IF('امتیاز دهی خبرگان'!$F41=1,'طیف فازی'!$B$2,IF('امتیاز دهی خبرگان'!$F41=2,'طیف فازی'!$B$3,IF('امتیاز دهی خبرگان'!$F41=3,'طیف فازی'!$B$4,IF('امتیاز دهی خبرگان'!$F41=4,'طیف فازی'!$B$5,'طیف فازی'!$B$6)))))</f>
        <v>0.75</v>
      </c>
      <c r="M41" s="18">
        <f>IF('امتیاز دهی خبرگان'!$F41=0,0,IF('امتیاز دهی خبرگان'!$F41=1,'طیف فازی'!$C$2,IF('امتیاز دهی خبرگان'!$F41=2,'طیف فازی'!$C$3,IF('امتیاز دهی خبرگان'!$F41=3,'طیف فازی'!$C$4,IF('امتیاز دهی خبرگان'!$F41=4,'طیف فازی'!$C$5,'طیف فازی'!$C$6)))))</f>
        <v>1</v>
      </c>
      <c r="N41" s="19">
        <f>IF('امتیاز دهی خبرگان'!$F41=0,0,IF('امتیاز دهی خبرگان'!$F41=1,'طیف فازی'!$D$2,IF('امتیاز دهی خبرگان'!$F41=2,'طیف فازی'!$D$3,IF('امتیاز دهی خبرگان'!$F41=3,'طیف فازی'!$D$4,IF('امتیاز دهی خبرگان'!$F41=4,'طیف فازی'!$D$5,'طیف فازی'!$D$6)))))</f>
        <v>1</v>
      </c>
      <c r="O41" s="17">
        <f>IF('امتیاز دهی خبرگان'!$G41=0,0,IF('امتیاز دهی خبرگان'!$G41=1,'طیف فازی'!$B$2,IF('امتیاز دهی خبرگان'!$G41=2,'طیف فازی'!$B$3,IF('امتیاز دهی خبرگان'!$G41=3,'طیف فازی'!$B$4,IF('امتیاز دهی خبرگان'!$G41=4,'طیف فازی'!$B$5,'طیف فازی'!$B$6)))))</f>
        <v>0</v>
      </c>
      <c r="P41" s="18">
        <f>IF('امتیاز دهی خبرگان'!$G41=0,0,IF('امتیاز دهی خبرگان'!$G41=1,'طیف فازی'!$C$2,IF('امتیاز دهی خبرگان'!$G41=2,'طیف فازی'!$C$3,IF('امتیاز دهی خبرگان'!$G41=3,'طیف فازی'!$C$4,IF('امتیاز دهی خبرگان'!$G41=4,'طیف فازی'!$C$5,'طیف فازی'!$C$6)))))</f>
        <v>0.25</v>
      </c>
      <c r="Q41" s="19">
        <f>IF('امتیاز دهی خبرگان'!$G41=0,0,IF('امتیاز دهی خبرگان'!$G41=1,'طیف فازی'!$D$2,IF('امتیاز دهی خبرگان'!$G41=2,'طیف فازی'!$D$3,IF('امتیاز دهی خبرگان'!$G41=3,'طیف فازی'!$D$4,IF('امتیاز دهی خبرگان'!$G41=4,'طیف فازی'!$D$5,'طیف فازی'!$D$6)))))</f>
        <v>0.5</v>
      </c>
      <c r="R41" s="17">
        <f>IF('امتیاز دهی خبرگان'!$H41=0,0,IF('امتیاز دهی خبرگان'!$H41=1,'طیف فازی'!$B$2,IF('امتیاز دهی خبرگان'!$H41=2,'طیف فازی'!$B$3,IF('امتیاز دهی خبرگان'!$H41=3,'طیف فازی'!$B$4,IF('امتیاز دهی خبرگان'!$H41=4,'طیف فازی'!$B$5,'طیف فازی'!$B$6)))))</f>
        <v>0.25</v>
      </c>
      <c r="S41" s="18">
        <f>IF('امتیاز دهی خبرگان'!$H41=0,0,IF('امتیاز دهی خبرگان'!$H41=1,'طیف فازی'!$C$2,IF('امتیاز دهی خبرگان'!$H41=2,'طیف فازی'!$C$3,IF('امتیاز دهی خبرگان'!$H41=3,'طیف فازی'!$C$4,IF('امتیاز دهی خبرگان'!$H41=4,'طیف فازی'!$C$5,'طیف فازی'!$C$6)))))</f>
        <v>0.5</v>
      </c>
      <c r="T41" s="19">
        <f>IF('امتیاز دهی خبرگان'!$H41=0,0,IF('امتیاز دهی خبرگان'!$H41=1,'طیف فازی'!$D$2,IF('امتیاز دهی خبرگان'!$H41=2,'طیف فازی'!$D$3,IF('امتیاز دهی خبرگان'!$H41=3,'طیف فازی'!$D$4,IF('امتیاز دهی خبرگان'!$H41=4,'طیف فازی'!$D$5,'طیف فازی'!$D$6)))))</f>
        <v>0.75</v>
      </c>
      <c r="U41" s="17">
        <f>IF('امتیاز دهی خبرگان'!$I41=0,0,IF('امتیاز دهی خبرگان'!$I41=1,'طیف فازی'!$B$2,IF('امتیاز دهی خبرگان'!$I41=2,'طیف فازی'!$B$3,IF('امتیاز دهی خبرگان'!$I41=3,'طیف فازی'!$B$4,IF('امتیاز دهی خبرگان'!$I41=4,'طیف فازی'!$B$5,'طیف فازی'!$B$6)))))</f>
        <v>0.75</v>
      </c>
      <c r="V41" s="18">
        <f>IF('امتیاز دهی خبرگان'!$I41=0,0,IF('امتیاز دهی خبرگان'!$I41=1,'طیف فازی'!$C$2,IF('امتیاز دهی خبرگان'!$I41=2,'طیف فازی'!$C$3,IF('امتیاز دهی خبرگان'!$I41=3,'طیف فازی'!$C$4,IF('امتیاز دهی خبرگان'!$I41=4,'طیف فازی'!$C$5,'طیف فازی'!$C$6)))))</f>
        <v>1</v>
      </c>
      <c r="W41" s="19">
        <f>IF('امتیاز دهی خبرگان'!$I41=0,0,IF('امتیاز دهی خبرگان'!$I41=1,'طیف فازی'!$D$2,IF('امتیاز دهی خبرگان'!$I41=2,'طیف فازی'!$D$3,IF('امتیاز دهی خبرگان'!$I41=3,'طیف فازی'!$D$4,IF('امتیاز دهی خبرگان'!$I41=4,'طیف فازی'!$D$5,'طیف فازی'!$D$6)))))</f>
        <v>1</v>
      </c>
      <c r="X41" s="17">
        <f>IF('امتیاز دهی خبرگان'!$J41=0,0,IF('امتیاز دهی خبرگان'!$J41=1,'طیف فازی'!$B$2,IF('امتیاز دهی خبرگان'!$J41=2,'طیف فازی'!$B$3,IF('امتیاز دهی خبرگان'!$J41=3,'طیف فازی'!$B$4,IF('امتیاز دهی خبرگان'!$J41=4,'طیف فازی'!$B$5,'طیف فازی'!$B$6)))))</f>
        <v>0.75</v>
      </c>
      <c r="Y41" s="18">
        <f>IF('امتیاز دهی خبرگان'!$J41=0,0,IF('امتیاز دهی خبرگان'!$J41=1,'طیف فازی'!$C$2,IF('امتیاز دهی خبرگان'!$J41=2,'طیف فازی'!$C$3,IF('امتیاز دهی خبرگان'!$J41=3,'طیف فازی'!$C$4,IF('امتیاز دهی خبرگان'!$J41=4,'طیف فازی'!$C$5,'طیف فازی'!$C$6)))))</f>
        <v>1</v>
      </c>
      <c r="Z41" s="19">
        <f>IF('امتیاز دهی خبرگان'!$J41=0,0,IF('امتیاز دهی خبرگان'!$J41=1,'طیف فازی'!$D$2,IF('امتیاز دهی خبرگان'!$J41=2,'طیف فازی'!$D$3,IF('امتیاز دهی خبرگان'!$J41=3,'طیف فازی'!$D$4,IF('امتیاز دهی خبرگان'!$J41=4,'طیف فازی'!$D$5,'طیف فازی'!$D$6)))))</f>
        <v>1</v>
      </c>
      <c r="AA41" s="17">
        <f>IF('امتیاز دهی خبرگان'!$K41=0,0,IF('امتیاز دهی خبرگان'!$K41=1,'طیف فازی'!$B$2,IF('امتیاز دهی خبرگان'!$K41=2,'طیف فازی'!$B$3,IF('امتیاز دهی خبرگان'!$K41=3,'طیف فازی'!$B$4,IF('امتیاز دهی خبرگان'!$K41=4,'طیف فازی'!$B$5,'طیف فازی'!$B$6)))))</f>
        <v>0.75</v>
      </c>
      <c r="AB41" s="18">
        <f>IF('امتیاز دهی خبرگان'!$K41=0,0,IF('امتیاز دهی خبرگان'!$K41=1,'طیف فازی'!$C$2,IF('امتیاز دهی خبرگان'!$K41=2,'طیف فازی'!$C$3,IF('امتیاز دهی خبرگان'!$K41=3,'طیف فازی'!$C$4,IF('امتیاز دهی خبرگان'!$K41=4,'طیف فازی'!$C$5,'طیف فازی'!$C$6)))))</f>
        <v>1</v>
      </c>
      <c r="AC41" s="19">
        <f>IF('امتیاز دهی خبرگان'!$K41=0,0,IF('امتیاز دهی خبرگان'!$K41=1,'طیف فازی'!$D$2,IF('امتیاز دهی خبرگان'!$K41=2,'طیف فازی'!$D$3,IF('امتیاز دهی خبرگان'!$K41=3,'طیف فازی'!$D$4,IF('امتیاز دهی خبرگان'!$K41=4,'طیف فازی'!$D$5,'طیف فازی'!$D$6)))))</f>
        <v>1</v>
      </c>
      <c r="AD41" s="17">
        <f>IF('امتیاز دهی خبرگان'!$L41=0,0,IF('امتیاز دهی خبرگان'!$L41=1,'طیف فازی'!$B$2,IF('امتیاز دهی خبرگان'!$L41=2,'طیف فازی'!$B$3,IF('امتیاز دهی خبرگان'!$L41=3,'طیف فازی'!$B$4,IF('امتیاز دهی خبرگان'!$L41=4,'طیف فازی'!$B$5,'طیف فازی'!$B$6)))))</f>
        <v>0.75</v>
      </c>
      <c r="AE41" s="18">
        <f>IF('امتیاز دهی خبرگان'!$L41=0,0,IF('امتیاز دهی خبرگان'!$L41=1,'طیف فازی'!$C$2,IF('امتیاز دهی خبرگان'!$L41=2,'طیف فازی'!$C$3,IF('امتیاز دهی خبرگان'!$L41=3,'طیف فازی'!$C$4,IF('امتیاز دهی خبرگان'!$L41=4,'طیف فازی'!$C$5,'طیف فازی'!$C$6)))))</f>
        <v>1</v>
      </c>
      <c r="AF41" s="19">
        <f>IF('امتیاز دهی خبرگان'!$L41=0,0,IF('امتیاز دهی خبرگان'!$L41=1,'طیف فازی'!$D$2,IF('امتیاز دهی خبرگان'!$L41=2,'طیف فازی'!$D$3,IF('امتیاز دهی خبرگان'!$L41=3,'طیف فازی'!$D$4,IF('امتیاز دهی خبرگان'!$L41=4,'طیف فازی'!$D$5,'طیف فازی'!$D$6)))))</f>
        <v>1</v>
      </c>
      <c r="AG41" s="17">
        <f>IF('امتیاز دهی خبرگان'!$M41=0,0,IF('امتیاز دهی خبرگان'!$M41=1,'طیف فازی'!$B$2,IF('امتیاز دهی خبرگان'!$M41=2,'طیف فازی'!$B$3,IF('امتیاز دهی خبرگان'!$M41=3,'طیف فازی'!$B$4,IF('امتیاز دهی خبرگان'!$M41=4,'طیف فازی'!$B$5,'طیف فازی'!$B$6)))))</f>
        <v>0.75</v>
      </c>
      <c r="AH41" s="18">
        <f>IF('امتیاز دهی خبرگان'!$M41=0,0,IF('امتیاز دهی خبرگان'!$M41=1,'طیف فازی'!$C$2,IF('امتیاز دهی خبرگان'!$M41=2,'طیف فازی'!$C$3,IF('امتیاز دهی خبرگان'!$M41=3,'طیف فازی'!$C$4,IF('امتیاز دهی خبرگان'!$M41=4,'طیف فازی'!$C$5,'طیف فازی'!$C$6)))))</f>
        <v>1</v>
      </c>
      <c r="AI41" s="19">
        <f>IF('امتیاز دهی خبرگان'!$M41=0,0,IF('امتیاز دهی خبرگان'!$M41=1,'طیف فازی'!$D$2,IF('امتیاز دهی خبرگان'!$M41=2,'طیف فازی'!$D$3,IF('امتیاز دهی خبرگان'!$M41=3,'طیف فازی'!$D$4,IF('امتیاز دهی خبرگان'!$M41=4,'طیف فازی'!$D$5,'طیف فازی'!$D$6)))))</f>
        <v>1</v>
      </c>
      <c r="AJ41" s="17">
        <f>IF('امتیاز دهی خبرگان'!$N41=0,0,IF('امتیاز دهی خبرگان'!$N41=1,'طیف فازی'!$B$2,IF('امتیاز دهی خبرگان'!$N41=2,'طیف فازی'!$B$3,IF('امتیاز دهی خبرگان'!$N41=3,'طیف فازی'!$B$4,IF('امتیاز دهی خبرگان'!$N41=4,'طیف فازی'!$B$5,'طیف فازی'!$B$6)))))</f>
        <v>0.75</v>
      </c>
      <c r="AK41" s="18">
        <f>IF('امتیاز دهی خبرگان'!$N41=0,0,IF('امتیاز دهی خبرگان'!$N41=1,'طیف فازی'!$C$2,IF('امتیاز دهی خبرگان'!$N41=2,'طیف فازی'!$C$3,IF('امتیاز دهی خبرگان'!$N41=3,'طیف فازی'!$C$4,IF('امتیاز دهی خبرگان'!$N41=4,'طیف فازی'!$C$5,'طیف فازی'!$C$6)))))</f>
        <v>1</v>
      </c>
      <c r="AL41" s="19">
        <f>IF('امتیاز دهی خبرگان'!$N41=0,0,IF('امتیاز دهی خبرگان'!$N41=1,'طیف فازی'!$D$2,IF('امتیاز دهی خبرگان'!$N41=2,'طیف فازی'!$D$3,IF('امتیاز دهی خبرگان'!$N41=3,'طیف فازی'!$D$4,IF('امتیاز دهی خبرگان'!$N41=4,'طیف فازی'!$D$5,'طیف فازی'!$D$6)))))</f>
        <v>1</v>
      </c>
      <c r="AM41" s="23">
        <f t="shared" si="1"/>
        <v>7.5</v>
      </c>
      <c r="AN41" s="23">
        <f t="shared" si="2"/>
        <v>10.5</v>
      </c>
      <c r="AO41" s="24">
        <f t="shared" si="3"/>
        <v>11.25</v>
      </c>
      <c r="AP41" s="25">
        <f t="shared" si="4"/>
        <v>0.625</v>
      </c>
      <c r="AQ41" s="23">
        <f t="shared" si="5"/>
        <v>0.875</v>
      </c>
      <c r="AR41" s="24">
        <f t="shared" si="6"/>
        <v>0.9375</v>
      </c>
      <c r="AS41" s="24">
        <f t="shared" si="7"/>
        <v>0.8125</v>
      </c>
      <c r="AT41" s="24" t="str">
        <f t="shared" si="8"/>
        <v>Pass</v>
      </c>
    </row>
    <row r="42" spans="2:46" ht="23.25" customHeight="1" thickBot="1" x14ac:dyDescent="0.85">
      <c r="B42" s="2">
        <v>40</v>
      </c>
      <c r="C42" s="17">
        <f>IF('امتیاز دهی خبرگان'!$C42=0,0,IF('امتیاز دهی خبرگان'!$C42=1,'طیف فازی'!$B$2,IF('امتیاز دهی خبرگان'!$C42=2,'طیف فازی'!$B$3,IF('امتیاز دهی خبرگان'!$C42=3,'طیف فازی'!$B$4,IF('امتیاز دهی خبرگان'!$C42=4,'طیف فازی'!$B$5,'طیف فازی'!$B$6)))))</f>
        <v>0.75</v>
      </c>
      <c r="D42" s="18">
        <f>IF('امتیاز دهی خبرگان'!$C42=0,0,IF('امتیاز دهی خبرگان'!$C42=1,'طیف فازی'!$C$2,IF('امتیاز دهی خبرگان'!$C42=2,'طیف فازی'!$C$3,IF('امتیاز دهی خبرگان'!$C42=3,'طیف فازی'!$C$4,IF('امتیاز دهی خبرگان'!$C42=4,'طیف فازی'!$C$5,'طیف فازی'!$C$6)))))</f>
        <v>1</v>
      </c>
      <c r="E42" s="19">
        <f>IF('امتیاز دهی خبرگان'!$C42=0,0,IF('امتیاز دهی خبرگان'!$C42=1,'طیف فازی'!$D$2,IF('امتیاز دهی خبرگان'!$C42=2,'طیف فازی'!$D$3,IF('امتیاز دهی خبرگان'!$C42=3,'طیف فازی'!$D$4,IF('امتیاز دهی خبرگان'!$C42=4,'طیف فازی'!$D$5,'طیف فازی'!$D$6)))))</f>
        <v>1</v>
      </c>
      <c r="F42" s="20">
        <f>IF('امتیاز دهی خبرگان'!$D42=0,0,IF('امتیاز دهی خبرگان'!$D42=1,'طیف فازی'!$B$2,IF('امتیاز دهی خبرگان'!$D42=2,'طیف فازی'!$B$3,IF('امتیاز دهی خبرگان'!$D42=3,'طیف فازی'!$B$4,IF('امتیاز دهی خبرگان'!$D42=4,'طیف فازی'!$B$5,'طیف فازی'!$B$6)))))</f>
        <v>0.5</v>
      </c>
      <c r="G42" s="21">
        <f>IF('امتیاز دهی خبرگان'!$D42=0,0,IF('امتیاز دهی خبرگان'!$D42=1,'طیف فازی'!$D$2,IF('امتیاز دهی خبرگان'!$D42=2,'طیف فازی'!$C$3,IF('امتیاز دهی خبرگان'!$D42=3,'طیف فازی'!$C$4,IF('امتیاز دهی خبرگان'!$D42=4,'طیف فازی'!$C$5,'طیف فازی'!$C$6)))))</f>
        <v>0.75</v>
      </c>
      <c r="H42" s="22">
        <f>IF('امتیاز دهی خبرگان'!$D42=0,0,IF('امتیاز دهی خبرگان'!$D42=1,'طیف فازی'!$D$2,IF('امتیاز دهی خبرگان'!$D42=2,'طیف فازی'!$D$3,IF('امتیاز دهی خبرگان'!$D42=3,'طیف فازی'!$D$4,IF('امتیاز دهی خبرگان'!$D42=4,'طیف فازی'!$D$5,'طیف فازی'!$D$6)))))</f>
        <v>1</v>
      </c>
      <c r="I42" s="17">
        <f>IF('امتیاز دهی خبرگان'!$E42=0,0,IF('امتیاز دهی خبرگان'!$E42=1,'طیف فازی'!$B$2,IF('امتیاز دهی خبرگان'!$E42=2,'طیف فازی'!$B$3,IF('امتیاز دهی خبرگان'!$E42=3,'طیف فازی'!$B$4,IF('امتیاز دهی خبرگان'!$E42=4,'طیف فازی'!$B$5,'طیف فازی'!$B$6)))))</f>
        <v>0.5</v>
      </c>
      <c r="J42" s="18">
        <f>IF('امتیاز دهی خبرگان'!$E42=0,0,IF('امتیاز دهی خبرگان'!$E42=1,'طیف فازی'!$C$2,IF('امتیاز دهی خبرگان'!$E42=2,'طیف فازی'!$C$3,IF('امتیاز دهی خبرگان'!$E42=3,'طیف فازی'!$C$4,IF('امتیاز دهی خبرگان'!$E42=4,'طیف فازی'!$C$5,'طیف فازی'!$C$6)))))</f>
        <v>0.75</v>
      </c>
      <c r="K42" s="19">
        <f>IF('امتیاز دهی خبرگان'!$E42=0,0,IF('امتیاز دهی خبرگان'!$E42=1,'طیف فازی'!$D$2,IF('امتیاز دهی خبرگان'!$E42=2,'طیف فازی'!$D$3,IF('امتیاز دهی خبرگان'!$E42=3,'طیف فازی'!$D$4,IF('امتیاز دهی خبرگان'!$E42=4,'طیف فازی'!$D$5,'طیف فازی'!$D$6)))))</f>
        <v>1</v>
      </c>
      <c r="L42" s="17">
        <f>IF('امتیاز دهی خبرگان'!$F42=0,0,IF('امتیاز دهی خبرگان'!$F42=1,'طیف فازی'!$B$2,IF('امتیاز دهی خبرگان'!$F42=2,'طیف فازی'!$B$3,IF('امتیاز دهی خبرگان'!$F42=3,'طیف فازی'!$B$4,IF('امتیاز دهی خبرگان'!$F42=4,'طیف فازی'!$B$5,'طیف فازی'!$B$6)))))</f>
        <v>0.75</v>
      </c>
      <c r="M42" s="18">
        <f>IF('امتیاز دهی خبرگان'!$F42=0,0,IF('امتیاز دهی خبرگان'!$F42=1,'طیف فازی'!$C$2,IF('امتیاز دهی خبرگان'!$F42=2,'طیف فازی'!$C$3,IF('امتیاز دهی خبرگان'!$F42=3,'طیف فازی'!$C$4,IF('امتیاز دهی خبرگان'!$F42=4,'طیف فازی'!$C$5,'طیف فازی'!$C$6)))))</f>
        <v>1</v>
      </c>
      <c r="N42" s="19">
        <f>IF('امتیاز دهی خبرگان'!$F42=0,0,IF('امتیاز دهی خبرگان'!$F42=1,'طیف فازی'!$D$2,IF('امتیاز دهی خبرگان'!$F42=2,'طیف فازی'!$D$3,IF('امتیاز دهی خبرگان'!$F42=3,'طیف فازی'!$D$4,IF('امتیاز دهی خبرگان'!$F42=4,'طیف فازی'!$D$5,'طیف فازی'!$D$6)))))</f>
        <v>1</v>
      </c>
      <c r="O42" s="17">
        <f>IF('امتیاز دهی خبرگان'!$G42=0,0,IF('امتیاز دهی خبرگان'!$G42=1,'طیف فازی'!$B$2,IF('امتیاز دهی خبرگان'!$G42=2,'طیف فازی'!$B$3,IF('امتیاز دهی خبرگان'!$G42=3,'طیف فازی'!$B$4,IF('امتیاز دهی خبرگان'!$G42=4,'طیف فازی'!$B$5,'طیف فازی'!$B$6)))))</f>
        <v>0.25</v>
      </c>
      <c r="P42" s="18">
        <f>IF('امتیاز دهی خبرگان'!$G42=0,0,IF('امتیاز دهی خبرگان'!$G42=1,'طیف فازی'!$C$2,IF('امتیاز دهی خبرگان'!$G42=2,'طیف فازی'!$C$3,IF('امتیاز دهی خبرگان'!$G42=3,'طیف فازی'!$C$4,IF('امتیاز دهی خبرگان'!$G42=4,'طیف فازی'!$C$5,'طیف فازی'!$C$6)))))</f>
        <v>0.5</v>
      </c>
      <c r="Q42" s="19">
        <f>IF('امتیاز دهی خبرگان'!$G42=0,0,IF('امتیاز دهی خبرگان'!$G42=1,'طیف فازی'!$D$2,IF('امتیاز دهی خبرگان'!$G42=2,'طیف فازی'!$D$3,IF('امتیاز دهی خبرگان'!$G42=3,'طیف فازی'!$D$4,IF('امتیاز دهی خبرگان'!$G42=4,'طیف فازی'!$D$5,'طیف فازی'!$D$6)))))</f>
        <v>0.75</v>
      </c>
      <c r="R42" s="17">
        <f>IF('امتیاز دهی خبرگان'!$H42=0,0,IF('امتیاز دهی خبرگان'!$H42=1,'طیف فازی'!$B$2,IF('امتیاز دهی خبرگان'!$H42=2,'طیف فازی'!$B$3,IF('امتیاز دهی خبرگان'!$H42=3,'طیف فازی'!$B$4,IF('امتیاز دهی خبرگان'!$H42=4,'طیف فازی'!$B$5,'طیف فازی'!$B$6)))))</f>
        <v>0.25</v>
      </c>
      <c r="S42" s="18">
        <f>IF('امتیاز دهی خبرگان'!$H42=0,0,IF('امتیاز دهی خبرگان'!$H42=1,'طیف فازی'!$C$2,IF('امتیاز دهی خبرگان'!$H42=2,'طیف فازی'!$C$3,IF('امتیاز دهی خبرگان'!$H42=3,'طیف فازی'!$C$4,IF('امتیاز دهی خبرگان'!$H42=4,'طیف فازی'!$C$5,'طیف فازی'!$C$6)))))</f>
        <v>0.5</v>
      </c>
      <c r="T42" s="19">
        <f>IF('امتیاز دهی خبرگان'!$H42=0,0,IF('امتیاز دهی خبرگان'!$H42=1,'طیف فازی'!$D$2,IF('امتیاز دهی خبرگان'!$H42=2,'طیف فازی'!$D$3,IF('امتیاز دهی خبرگان'!$H42=3,'طیف فازی'!$D$4,IF('امتیاز دهی خبرگان'!$H42=4,'طیف فازی'!$D$5,'طیف فازی'!$D$6)))))</f>
        <v>0.75</v>
      </c>
      <c r="U42" s="17">
        <f>IF('امتیاز دهی خبرگان'!$I42=0,0,IF('امتیاز دهی خبرگان'!$I42=1,'طیف فازی'!$B$2,IF('امتیاز دهی خبرگان'!$I42=2,'طیف فازی'!$B$3,IF('امتیاز دهی خبرگان'!$I42=3,'طیف فازی'!$B$4,IF('امتیاز دهی خبرگان'!$I42=4,'طیف فازی'!$B$5,'طیف فازی'!$B$6)))))</f>
        <v>0.75</v>
      </c>
      <c r="V42" s="18">
        <f>IF('امتیاز دهی خبرگان'!$I42=0,0,IF('امتیاز دهی خبرگان'!$I42=1,'طیف فازی'!$C$2,IF('امتیاز دهی خبرگان'!$I42=2,'طیف فازی'!$C$3,IF('امتیاز دهی خبرگان'!$I42=3,'طیف فازی'!$C$4,IF('امتیاز دهی خبرگان'!$I42=4,'طیف فازی'!$C$5,'طیف فازی'!$C$6)))))</f>
        <v>1</v>
      </c>
      <c r="W42" s="19">
        <f>IF('امتیاز دهی خبرگان'!$I42=0,0,IF('امتیاز دهی خبرگان'!$I42=1,'طیف فازی'!$D$2,IF('امتیاز دهی خبرگان'!$I42=2,'طیف فازی'!$D$3,IF('امتیاز دهی خبرگان'!$I42=3,'طیف فازی'!$D$4,IF('امتیاز دهی خبرگان'!$I42=4,'طیف فازی'!$D$5,'طیف فازی'!$D$6)))))</f>
        <v>1</v>
      </c>
      <c r="X42" s="17">
        <f>IF('امتیاز دهی خبرگان'!$J42=0,0,IF('امتیاز دهی خبرگان'!$J42=1,'طیف فازی'!$B$2,IF('امتیاز دهی خبرگان'!$J42=2,'طیف فازی'!$B$3,IF('امتیاز دهی خبرگان'!$J42=3,'طیف فازی'!$B$4,IF('امتیاز دهی خبرگان'!$J42=4,'طیف فازی'!$B$5,'طیف فازی'!$B$6)))))</f>
        <v>0.75</v>
      </c>
      <c r="Y42" s="18">
        <f>IF('امتیاز دهی خبرگان'!$J42=0,0,IF('امتیاز دهی خبرگان'!$J42=1,'طیف فازی'!$C$2,IF('امتیاز دهی خبرگان'!$J42=2,'طیف فازی'!$C$3,IF('امتیاز دهی خبرگان'!$J42=3,'طیف فازی'!$C$4,IF('امتیاز دهی خبرگان'!$J42=4,'طیف فازی'!$C$5,'طیف فازی'!$C$6)))))</f>
        <v>1</v>
      </c>
      <c r="Z42" s="19">
        <f>IF('امتیاز دهی خبرگان'!$J42=0,0,IF('امتیاز دهی خبرگان'!$J42=1,'طیف فازی'!$D$2,IF('امتیاز دهی خبرگان'!$J42=2,'طیف فازی'!$D$3,IF('امتیاز دهی خبرگان'!$J42=3,'طیف فازی'!$D$4,IF('امتیاز دهی خبرگان'!$J42=4,'طیف فازی'!$D$5,'طیف فازی'!$D$6)))))</f>
        <v>1</v>
      </c>
      <c r="AA42" s="17">
        <f>IF('امتیاز دهی خبرگان'!$K42=0,0,IF('امتیاز دهی خبرگان'!$K42=1,'طیف فازی'!$B$2,IF('امتیاز دهی خبرگان'!$K42=2,'طیف فازی'!$B$3,IF('امتیاز دهی خبرگان'!$K42=3,'طیف فازی'!$B$4,IF('امتیاز دهی خبرگان'!$K42=4,'طیف فازی'!$B$5,'طیف فازی'!$B$6)))))</f>
        <v>0.75</v>
      </c>
      <c r="AB42" s="18">
        <f>IF('امتیاز دهی خبرگان'!$K42=0,0,IF('امتیاز دهی خبرگان'!$K42=1,'طیف فازی'!$C$2,IF('امتیاز دهی خبرگان'!$K42=2,'طیف فازی'!$C$3,IF('امتیاز دهی خبرگان'!$K42=3,'طیف فازی'!$C$4,IF('امتیاز دهی خبرگان'!$K42=4,'طیف فازی'!$C$5,'طیف فازی'!$C$6)))))</f>
        <v>1</v>
      </c>
      <c r="AC42" s="19">
        <f>IF('امتیاز دهی خبرگان'!$K42=0,0,IF('امتیاز دهی خبرگان'!$K42=1,'طیف فازی'!$D$2,IF('امتیاز دهی خبرگان'!$K42=2,'طیف فازی'!$D$3,IF('امتیاز دهی خبرگان'!$K42=3,'طیف فازی'!$D$4,IF('امتیاز دهی خبرگان'!$K42=4,'طیف فازی'!$D$5,'طیف فازی'!$D$6)))))</f>
        <v>1</v>
      </c>
      <c r="AD42" s="17">
        <f>IF('امتیاز دهی خبرگان'!$L42=0,0,IF('امتیاز دهی خبرگان'!$L42=1,'طیف فازی'!$B$2,IF('امتیاز دهی خبرگان'!$L42=2,'طیف فازی'!$B$3,IF('امتیاز دهی خبرگان'!$L42=3,'طیف فازی'!$B$4,IF('امتیاز دهی خبرگان'!$L42=4,'طیف فازی'!$B$5,'طیف فازی'!$B$6)))))</f>
        <v>0.75</v>
      </c>
      <c r="AE42" s="18">
        <f>IF('امتیاز دهی خبرگان'!$L42=0,0,IF('امتیاز دهی خبرگان'!$L42=1,'طیف فازی'!$C$2,IF('امتیاز دهی خبرگان'!$L42=2,'طیف فازی'!$C$3,IF('امتیاز دهی خبرگان'!$L42=3,'طیف فازی'!$C$4,IF('امتیاز دهی خبرگان'!$L42=4,'طیف فازی'!$C$5,'طیف فازی'!$C$6)))))</f>
        <v>1</v>
      </c>
      <c r="AF42" s="19">
        <f>IF('امتیاز دهی خبرگان'!$L42=0,0,IF('امتیاز دهی خبرگان'!$L42=1,'طیف فازی'!$D$2,IF('امتیاز دهی خبرگان'!$L42=2,'طیف فازی'!$D$3,IF('امتیاز دهی خبرگان'!$L42=3,'طیف فازی'!$D$4,IF('امتیاز دهی خبرگان'!$L42=4,'طیف فازی'!$D$5,'طیف فازی'!$D$6)))))</f>
        <v>1</v>
      </c>
      <c r="AG42" s="17">
        <f>IF('امتیاز دهی خبرگان'!$M42=0,0,IF('امتیاز دهی خبرگان'!$M42=1,'طیف فازی'!$B$2,IF('امتیاز دهی خبرگان'!$M42=2,'طیف فازی'!$B$3,IF('امتیاز دهی خبرگان'!$M42=3,'طیف فازی'!$B$4,IF('امتیاز دهی خبرگان'!$M42=4,'طیف فازی'!$B$5,'طیف فازی'!$B$6)))))</f>
        <v>0.75</v>
      </c>
      <c r="AH42" s="18">
        <f>IF('امتیاز دهی خبرگان'!$M42=0,0,IF('امتیاز دهی خبرگان'!$M42=1,'طیف فازی'!$C$2,IF('امتیاز دهی خبرگان'!$M42=2,'طیف فازی'!$C$3,IF('امتیاز دهی خبرگان'!$M42=3,'طیف فازی'!$C$4,IF('امتیاز دهی خبرگان'!$M42=4,'طیف فازی'!$C$5,'طیف فازی'!$C$6)))))</f>
        <v>1</v>
      </c>
      <c r="AI42" s="19">
        <f>IF('امتیاز دهی خبرگان'!$M42=0,0,IF('امتیاز دهی خبرگان'!$M42=1,'طیف فازی'!$D$2,IF('امتیاز دهی خبرگان'!$M42=2,'طیف فازی'!$D$3,IF('امتیاز دهی خبرگان'!$M42=3,'طیف فازی'!$D$4,IF('امتیاز دهی خبرگان'!$M42=4,'طیف فازی'!$D$5,'طیف فازی'!$D$6)))))</f>
        <v>1</v>
      </c>
      <c r="AJ42" s="17">
        <f>IF('امتیاز دهی خبرگان'!$N42=0,0,IF('امتیاز دهی خبرگان'!$N42=1,'طیف فازی'!$B$2,IF('امتیاز دهی خبرگان'!$N42=2,'طیف فازی'!$B$3,IF('امتیاز دهی خبرگان'!$N42=3,'طیف فازی'!$B$4,IF('امتیاز دهی خبرگان'!$N42=4,'طیف فازی'!$B$5,'طیف فازی'!$B$6)))))</f>
        <v>0.75</v>
      </c>
      <c r="AK42" s="18">
        <f>IF('امتیاز دهی خبرگان'!$N42=0,0,IF('امتیاز دهی خبرگان'!$N42=1,'طیف فازی'!$C$2,IF('امتیاز دهی خبرگان'!$N42=2,'طیف فازی'!$C$3,IF('امتیاز دهی خبرگان'!$N42=3,'طیف فازی'!$C$4,IF('امتیاز دهی خبرگان'!$N42=4,'طیف فازی'!$C$5,'طیف فازی'!$C$6)))))</f>
        <v>1</v>
      </c>
      <c r="AL42" s="19">
        <f>IF('امتیاز دهی خبرگان'!$N42=0,0,IF('امتیاز دهی خبرگان'!$N42=1,'طیف فازی'!$D$2,IF('امتیاز دهی خبرگان'!$N42=2,'طیف فازی'!$D$3,IF('امتیاز دهی خبرگان'!$N42=3,'طیف فازی'!$D$4,IF('امتیاز دهی خبرگان'!$N42=4,'طیف فازی'!$D$5,'طیف فازی'!$D$6)))))</f>
        <v>1</v>
      </c>
      <c r="AM42" s="23">
        <f t="shared" si="1"/>
        <v>7.5</v>
      </c>
      <c r="AN42" s="23">
        <f t="shared" si="2"/>
        <v>10.5</v>
      </c>
      <c r="AO42" s="24">
        <f t="shared" si="3"/>
        <v>11.5</v>
      </c>
      <c r="AP42" s="25">
        <f t="shared" si="4"/>
        <v>0.625</v>
      </c>
      <c r="AQ42" s="23">
        <f t="shared" si="5"/>
        <v>0.875</v>
      </c>
      <c r="AR42" s="24">
        <f t="shared" si="6"/>
        <v>0.95833333333333337</v>
      </c>
      <c r="AS42" s="24">
        <f t="shared" si="7"/>
        <v>0.81944444444444453</v>
      </c>
      <c r="AT42" s="24" t="str">
        <f t="shared" si="8"/>
        <v>Pass</v>
      </c>
    </row>
    <row r="43" spans="2:46" ht="23.25" customHeight="1" thickBot="1" x14ac:dyDescent="0.85">
      <c r="B43" s="2">
        <v>41</v>
      </c>
      <c r="C43" s="17">
        <f>IF('امتیاز دهی خبرگان'!$C43=0,0,IF('امتیاز دهی خبرگان'!$C43=1,'طیف فازی'!$B$2,IF('امتیاز دهی خبرگان'!$C43=2,'طیف فازی'!$B$3,IF('امتیاز دهی خبرگان'!$C43=3,'طیف فازی'!$B$4,IF('امتیاز دهی خبرگان'!$C43=4,'طیف فازی'!$B$5,'طیف فازی'!$B$6)))))</f>
        <v>0.75</v>
      </c>
      <c r="D43" s="18">
        <f>IF('امتیاز دهی خبرگان'!$C43=0,0,IF('امتیاز دهی خبرگان'!$C43=1,'طیف فازی'!$C$2,IF('امتیاز دهی خبرگان'!$C43=2,'طیف فازی'!$C$3,IF('امتیاز دهی خبرگان'!$C43=3,'طیف فازی'!$C$4,IF('امتیاز دهی خبرگان'!$C43=4,'طیف فازی'!$C$5,'طیف فازی'!$C$6)))))</f>
        <v>1</v>
      </c>
      <c r="E43" s="19">
        <f>IF('امتیاز دهی خبرگان'!$C43=0,0,IF('امتیاز دهی خبرگان'!$C43=1,'طیف فازی'!$D$2,IF('امتیاز دهی خبرگان'!$C43=2,'طیف فازی'!$D$3,IF('امتیاز دهی خبرگان'!$C43=3,'طیف فازی'!$D$4,IF('امتیاز دهی خبرگان'!$C43=4,'طیف فازی'!$D$5,'طیف فازی'!$D$6)))))</f>
        <v>1</v>
      </c>
      <c r="F43" s="20">
        <f>IF('امتیاز دهی خبرگان'!$D43=0,0,IF('امتیاز دهی خبرگان'!$D43=1,'طیف فازی'!$B$2,IF('امتیاز دهی خبرگان'!$D43=2,'طیف فازی'!$B$3,IF('امتیاز دهی خبرگان'!$D43=3,'طیف فازی'!$B$4,IF('امتیاز دهی خبرگان'!$D43=4,'طیف فازی'!$B$5,'طیف فازی'!$B$6)))))</f>
        <v>0.5</v>
      </c>
      <c r="G43" s="21">
        <f>IF('امتیاز دهی خبرگان'!$D43=0,0,IF('امتیاز دهی خبرگان'!$D43=1,'طیف فازی'!$D$2,IF('امتیاز دهی خبرگان'!$D43=2,'طیف فازی'!$C$3,IF('امتیاز دهی خبرگان'!$D43=3,'طیف فازی'!$C$4,IF('امتیاز دهی خبرگان'!$D43=4,'طیف فازی'!$C$5,'طیف فازی'!$C$6)))))</f>
        <v>0.75</v>
      </c>
      <c r="H43" s="22">
        <f>IF('امتیاز دهی خبرگان'!$D43=0,0,IF('امتیاز دهی خبرگان'!$D43=1,'طیف فازی'!$D$2,IF('امتیاز دهی خبرگان'!$D43=2,'طیف فازی'!$D$3,IF('امتیاز دهی خبرگان'!$D43=3,'طیف فازی'!$D$4,IF('امتیاز دهی خبرگان'!$D43=4,'طیف فازی'!$D$5,'طیف فازی'!$D$6)))))</f>
        <v>1</v>
      </c>
      <c r="I43" s="17">
        <f>IF('امتیاز دهی خبرگان'!$E43=0,0,IF('امتیاز دهی خبرگان'!$E43=1,'طیف فازی'!$B$2,IF('امتیاز دهی خبرگان'!$E43=2,'طیف فازی'!$B$3,IF('امتیاز دهی خبرگان'!$E43=3,'طیف فازی'!$B$4,IF('امتیاز دهی خبرگان'!$E43=4,'طیف فازی'!$B$5,'طیف فازی'!$B$6)))))</f>
        <v>0.75</v>
      </c>
      <c r="J43" s="18">
        <f>IF('امتیاز دهی خبرگان'!$E43=0,0,IF('امتیاز دهی خبرگان'!$E43=1,'طیف فازی'!$C$2,IF('امتیاز دهی خبرگان'!$E43=2,'طیف فازی'!$C$3,IF('امتیاز دهی خبرگان'!$E43=3,'طیف فازی'!$C$4,IF('امتیاز دهی خبرگان'!$E43=4,'طیف فازی'!$C$5,'طیف فازی'!$C$6)))))</f>
        <v>1</v>
      </c>
      <c r="K43" s="19">
        <f>IF('امتیاز دهی خبرگان'!$E43=0,0,IF('امتیاز دهی خبرگان'!$E43=1,'طیف فازی'!$D$2,IF('امتیاز دهی خبرگان'!$E43=2,'طیف فازی'!$D$3,IF('امتیاز دهی خبرگان'!$E43=3,'طیف فازی'!$D$4,IF('امتیاز دهی خبرگان'!$E43=4,'طیف فازی'!$D$5,'طیف فازی'!$D$6)))))</f>
        <v>1</v>
      </c>
      <c r="L43" s="17">
        <f>IF('امتیاز دهی خبرگان'!$F43=0,0,IF('امتیاز دهی خبرگان'!$F43=1,'طیف فازی'!$B$2,IF('امتیاز دهی خبرگان'!$F43=2,'طیف فازی'!$B$3,IF('امتیاز دهی خبرگان'!$F43=3,'طیف فازی'!$B$4,IF('امتیاز دهی خبرگان'!$F43=4,'طیف فازی'!$B$5,'طیف فازی'!$B$6)))))</f>
        <v>0.75</v>
      </c>
      <c r="M43" s="18">
        <f>IF('امتیاز دهی خبرگان'!$F43=0,0,IF('امتیاز دهی خبرگان'!$F43=1,'طیف فازی'!$C$2,IF('امتیاز دهی خبرگان'!$F43=2,'طیف فازی'!$C$3,IF('امتیاز دهی خبرگان'!$F43=3,'طیف فازی'!$C$4,IF('امتیاز دهی خبرگان'!$F43=4,'طیف فازی'!$C$5,'طیف فازی'!$C$6)))))</f>
        <v>1</v>
      </c>
      <c r="N43" s="19">
        <f>IF('امتیاز دهی خبرگان'!$F43=0,0,IF('امتیاز دهی خبرگان'!$F43=1,'طیف فازی'!$D$2,IF('امتیاز دهی خبرگان'!$F43=2,'طیف فازی'!$D$3,IF('امتیاز دهی خبرگان'!$F43=3,'طیف فازی'!$D$4,IF('امتیاز دهی خبرگان'!$F43=4,'طیف فازی'!$D$5,'طیف فازی'!$D$6)))))</f>
        <v>1</v>
      </c>
      <c r="O43" s="17">
        <f>IF('امتیاز دهی خبرگان'!$G43=0,0,IF('امتیاز دهی خبرگان'!$G43=1,'طیف فازی'!$B$2,IF('امتیاز دهی خبرگان'!$G43=2,'طیف فازی'!$B$3,IF('امتیاز دهی خبرگان'!$G43=3,'طیف فازی'!$B$4,IF('امتیاز دهی خبرگان'!$G43=4,'طیف فازی'!$B$5,'طیف فازی'!$B$6)))))</f>
        <v>0.5</v>
      </c>
      <c r="P43" s="18">
        <f>IF('امتیاز دهی خبرگان'!$G43=0,0,IF('امتیاز دهی خبرگان'!$G43=1,'طیف فازی'!$C$2,IF('امتیاز دهی خبرگان'!$G43=2,'طیف فازی'!$C$3,IF('امتیاز دهی خبرگان'!$G43=3,'طیف فازی'!$C$4,IF('امتیاز دهی خبرگان'!$G43=4,'طیف فازی'!$C$5,'طیف فازی'!$C$6)))))</f>
        <v>0.75</v>
      </c>
      <c r="Q43" s="19">
        <f>IF('امتیاز دهی خبرگان'!$G43=0,0,IF('امتیاز دهی خبرگان'!$G43=1,'طیف فازی'!$D$2,IF('امتیاز دهی خبرگان'!$G43=2,'طیف فازی'!$D$3,IF('امتیاز دهی خبرگان'!$G43=3,'طیف فازی'!$D$4,IF('امتیاز دهی خبرگان'!$G43=4,'طیف فازی'!$D$5,'طیف فازی'!$D$6)))))</f>
        <v>1</v>
      </c>
      <c r="R43" s="17">
        <f>IF('امتیاز دهی خبرگان'!$H43=0,0,IF('امتیاز دهی خبرگان'!$H43=1,'طیف فازی'!$B$2,IF('امتیاز دهی خبرگان'!$H43=2,'طیف فازی'!$B$3,IF('امتیاز دهی خبرگان'!$H43=3,'طیف فازی'!$B$4,IF('امتیاز دهی خبرگان'!$H43=4,'طیف فازی'!$B$5,'طیف فازی'!$B$6)))))</f>
        <v>0</v>
      </c>
      <c r="S43" s="18">
        <f>IF('امتیاز دهی خبرگان'!$H43=0,0,IF('امتیاز دهی خبرگان'!$H43=1,'طیف فازی'!$C$2,IF('امتیاز دهی خبرگان'!$H43=2,'طیف فازی'!$C$3,IF('امتیاز دهی خبرگان'!$H43=3,'طیف فازی'!$C$4,IF('امتیاز دهی خبرگان'!$H43=4,'طیف فازی'!$C$5,'طیف فازی'!$C$6)))))</f>
        <v>0.25</v>
      </c>
      <c r="T43" s="19">
        <f>IF('امتیاز دهی خبرگان'!$H43=0,0,IF('امتیاز دهی خبرگان'!$H43=1,'طیف فازی'!$D$2,IF('امتیاز دهی خبرگان'!$H43=2,'طیف فازی'!$D$3,IF('امتیاز دهی خبرگان'!$H43=3,'طیف فازی'!$D$4,IF('امتیاز دهی خبرگان'!$H43=4,'طیف فازی'!$D$5,'طیف فازی'!$D$6)))))</f>
        <v>0.5</v>
      </c>
      <c r="U43" s="17">
        <f>IF('امتیاز دهی خبرگان'!$I43=0,0,IF('امتیاز دهی خبرگان'!$I43=1,'طیف فازی'!$B$2,IF('امتیاز دهی خبرگان'!$I43=2,'طیف فازی'!$B$3,IF('امتیاز دهی خبرگان'!$I43=3,'طیف فازی'!$B$4,IF('امتیاز دهی خبرگان'!$I43=4,'طیف فازی'!$B$5,'طیف فازی'!$B$6)))))</f>
        <v>0.75</v>
      </c>
      <c r="V43" s="18">
        <f>IF('امتیاز دهی خبرگان'!$I43=0,0,IF('امتیاز دهی خبرگان'!$I43=1,'طیف فازی'!$C$2,IF('امتیاز دهی خبرگان'!$I43=2,'طیف فازی'!$C$3,IF('امتیاز دهی خبرگان'!$I43=3,'طیف فازی'!$C$4,IF('امتیاز دهی خبرگان'!$I43=4,'طیف فازی'!$C$5,'طیف فازی'!$C$6)))))</f>
        <v>1</v>
      </c>
      <c r="W43" s="19">
        <f>IF('امتیاز دهی خبرگان'!$I43=0,0,IF('امتیاز دهی خبرگان'!$I43=1,'طیف فازی'!$D$2,IF('امتیاز دهی خبرگان'!$I43=2,'طیف فازی'!$D$3,IF('امتیاز دهی خبرگان'!$I43=3,'طیف فازی'!$D$4,IF('امتیاز دهی خبرگان'!$I43=4,'طیف فازی'!$D$5,'طیف فازی'!$D$6)))))</f>
        <v>1</v>
      </c>
      <c r="X43" s="17">
        <f>IF('امتیاز دهی خبرگان'!$J43=0,0,IF('امتیاز دهی خبرگان'!$J43=1,'طیف فازی'!$B$2,IF('امتیاز دهی خبرگان'!$J43=2,'طیف فازی'!$B$3,IF('امتیاز دهی خبرگان'!$J43=3,'طیف فازی'!$B$4,IF('امتیاز دهی خبرگان'!$J43=4,'طیف فازی'!$B$5,'طیف فازی'!$B$6)))))</f>
        <v>0.5</v>
      </c>
      <c r="Y43" s="18">
        <f>IF('امتیاز دهی خبرگان'!$J43=0,0,IF('امتیاز دهی خبرگان'!$J43=1,'طیف فازی'!$C$2,IF('امتیاز دهی خبرگان'!$J43=2,'طیف فازی'!$C$3,IF('امتیاز دهی خبرگان'!$J43=3,'طیف فازی'!$C$4,IF('امتیاز دهی خبرگان'!$J43=4,'طیف فازی'!$C$5,'طیف فازی'!$C$6)))))</f>
        <v>0.75</v>
      </c>
      <c r="Z43" s="19">
        <f>IF('امتیاز دهی خبرگان'!$J43=0,0,IF('امتیاز دهی خبرگان'!$J43=1,'طیف فازی'!$D$2,IF('امتیاز دهی خبرگان'!$J43=2,'طیف فازی'!$D$3,IF('امتیاز دهی خبرگان'!$J43=3,'طیف فازی'!$D$4,IF('امتیاز دهی خبرگان'!$J43=4,'طیف فازی'!$D$5,'طیف فازی'!$D$6)))))</f>
        <v>1</v>
      </c>
      <c r="AA43" s="17">
        <f>IF('امتیاز دهی خبرگان'!$K43=0,0,IF('امتیاز دهی خبرگان'!$K43=1,'طیف فازی'!$B$2,IF('امتیاز دهی خبرگان'!$K43=2,'طیف فازی'!$B$3,IF('امتیاز دهی خبرگان'!$K43=3,'طیف فازی'!$B$4,IF('امتیاز دهی خبرگان'!$K43=4,'طیف فازی'!$B$5,'طیف فازی'!$B$6)))))</f>
        <v>0.5</v>
      </c>
      <c r="AB43" s="18">
        <f>IF('امتیاز دهی خبرگان'!$K43=0,0,IF('امتیاز دهی خبرگان'!$K43=1,'طیف فازی'!$C$2,IF('امتیاز دهی خبرگان'!$K43=2,'طیف فازی'!$C$3,IF('امتیاز دهی خبرگان'!$K43=3,'طیف فازی'!$C$4,IF('امتیاز دهی خبرگان'!$K43=4,'طیف فازی'!$C$5,'طیف فازی'!$C$6)))))</f>
        <v>0.75</v>
      </c>
      <c r="AC43" s="19">
        <f>IF('امتیاز دهی خبرگان'!$K43=0,0,IF('امتیاز دهی خبرگان'!$K43=1,'طیف فازی'!$D$2,IF('امتیاز دهی خبرگان'!$K43=2,'طیف فازی'!$D$3,IF('امتیاز دهی خبرگان'!$K43=3,'طیف فازی'!$D$4,IF('امتیاز دهی خبرگان'!$K43=4,'طیف فازی'!$D$5,'طیف فازی'!$D$6)))))</f>
        <v>1</v>
      </c>
      <c r="AD43" s="17">
        <f>IF('امتیاز دهی خبرگان'!$L43=0,0,IF('امتیاز دهی خبرگان'!$L43=1,'طیف فازی'!$B$2,IF('امتیاز دهی خبرگان'!$L43=2,'طیف فازی'!$B$3,IF('امتیاز دهی خبرگان'!$L43=3,'طیف فازی'!$B$4,IF('امتیاز دهی خبرگان'!$L43=4,'طیف فازی'!$B$5,'طیف فازی'!$B$6)))))</f>
        <v>0.25</v>
      </c>
      <c r="AE43" s="18">
        <f>IF('امتیاز دهی خبرگان'!$L43=0,0,IF('امتیاز دهی خبرگان'!$L43=1,'طیف فازی'!$C$2,IF('امتیاز دهی خبرگان'!$L43=2,'طیف فازی'!$C$3,IF('امتیاز دهی خبرگان'!$L43=3,'طیف فازی'!$C$4,IF('امتیاز دهی خبرگان'!$L43=4,'طیف فازی'!$C$5,'طیف فازی'!$C$6)))))</f>
        <v>0.5</v>
      </c>
      <c r="AF43" s="19">
        <f>IF('امتیاز دهی خبرگان'!$L43=0,0,IF('امتیاز دهی خبرگان'!$L43=1,'طیف فازی'!$D$2,IF('امتیاز دهی خبرگان'!$L43=2,'طیف فازی'!$D$3,IF('امتیاز دهی خبرگان'!$L43=3,'طیف فازی'!$D$4,IF('امتیاز دهی خبرگان'!$L43=4,'طیف فازی'!$D$5,'طیف فازی'!$D$6)))))</f>
        <v>0.75</v>
      </c>
      <c r="AG43" s="17">
        <f>IF('امتیاز دهی خبرگان'!$M43=0,0,IF('امتیاز دهی خبرگان'!$M43=1,'طیف فازی'!$B$2,IF('امتیاز دهی خبرگان'!$M43=2,'طیف فازی'!$B$3,IF('امتیاز دهی خبرگان'!$M43=3,'طیف فازی'!$B$4,IF('امتیاز دهی خبرگان'!$M43=4,'طیف فازی'!$B$5,'طیف فازی'!$B$6)))))</f>
        <v>0.5</v>
      </c>
      <c r="AH43" s="18">
        <f>IF('امتیاز دهی خبرگان'!$M43=0,0,IF('امتیاز دهی خبرگان'!$M43=1,'طیف فازی'!$C$2,IF('امتیاز دهی خبرگان'!$M43=2,'طیف فازی'!$C$3,IF('امتیاز دهی خبرگان'!$M43=3,'طیف فازی'!$C$4,IF('امتیاز دهی خبرگان'!$M43=4,'طیف فازی'!$C$5,'طیف فازی'!$C$6)))))</f>
        <v>0.75</v>
      </c>
      <c r="AI43" s="19">
        <f>IF('امتیاز دهی خبرگان'!$M43=0,0,IF('امتیاز دهی خبرگان'!$M43=1,'طیف فازی'!$D$2,IF('امتیاز دهی خبرگان'!$M43=2,'طیف فازی'!$D$3,IF('امتیاز دهی خبرگان'!$M43=3,'طیف فازی'!$D$4,IF('امتیاز دهی خبرگان'!$M43=4,'طیف فازی'!$D$5,'طیف فازی'!$D$6)))))</f>
        <v>1</v>
      </c>
      <c r="AJ43" s="17">
        <f>IF('امتیاز دهی خبرگان'!$N43=0,0,IF('امتیاز دهی خبرگان'!$N43=1,'طیف فازی'!$B$2,IF('امتیاز دهی خبرگان'!$N43=2,'طیف فازی'!$B$3,IF('امتیاز دهی خبرگان'!$N43=3,'طیف فازی'!$B$4,IF('امتیاز دهی خبرگان'!$N43=4,'طیف فازی'!$B$5,'طیف فازی'!$B$6)))))</f>
        <v>0.5</v>
      </c>
      <c r="AK43" s="18">
        <f>IF('امتیاز دهی خبرگان'!$N43=0,0,IF('امتیاز دهی خبرگان'!$N43=1,'طیف فازی'!$C$2,IF('امتیاز دهی خبرگان'!$N43=2,'طیف فازی'!$C$3,IF('امتیاز دهی خبرگان'!$N43=3,'طیف فازی'!$C$4,IF('امتیاز دهی خبرگان'!$N43=4,'طیف فازی'!$C$5,'طیف فازی'!$C$6)))))</f>
        <v>0.75</v>
      </c>
      <c r="AL43" s="19">
        <f>IF('امتیاز دهی خبرگان'!$N43=0,0,IF('امتیاز دهی خبرگان'!$N43=1,'طیف فازی'!$D$2,IF('امتیاز دهی خبرگان'!$N43=2,'طیف فازی'!$D$3,IF('امتیاز دهی خبرگان'!$N43=3,'طیف فازی'!$D$4,IF('امتیاز دهی خبرگان'!$N43=4,'طیف فازی'!$D$5,'طیف فازی'!$D$6)))))</f>
        <v>1</v>
      </c>
      <c r="AM43" s="23">
        <f t="shared" si="1"/>
        <v>6.25</v>
      </c>
      <c r="AN43" s="23">
        <f t="shared" si="2"/>
        <v>9.25</v>
      </c>
      <c r="AO43" s="24">
        <f t="shared" si="3"/>
        <v>11.25</v>
      </c>
      <c r="AP43" s="25">
        <f t="shared" si="4"/>
        <v>0.52083333333333337</v>
      </c>
      <c r="AQ43" s="23">
        <f t="shared" si="5"/>
        <v>0.77083333333333337</v>
      </c>
      <c r="AR43" s="24">
        <f t="shared" si="6"/>
        <v>0.9375</v>
      </c>
      <c r="AS43" s="24">
        <f t="shared" si="7"/>
        <v>0.74305555555555569</v>
      </c>
      <c r="AT43" s="24" t="str">
        <f t="shared" si="8"/>
        <v>Pass</v>
      </c>
    </row>
    <row r="44" spans="2:46" ht="23.25" customHeight="1" thickBot="1" x14ac:dyDescent="0.85">
      <c r="B44" s="2">
        <v>42</v>
      </c>
      <c r="C44" s="17">
        <f>IF('امتیاز دهی خبرگان'!$C44=0,0,IF('امتیاز دهی خبرگان'!$C44=1,'طیف فازی'!$B$2,IF('امتیاز دهی خبرگان'!$C44=2,'طیف فازی'!$B$3,IF('امتیاز دهی خبرگان'!$C44=3,'طیف فازی'!$B$4,IF('امتیاز دهی خبرگان'!$C44=4,'طیف فازی'!$B$5,'طیف فازی'!$B$6)))))</f>
        <v>0.75</v>
      </c>
      <c r="D44" s="18">
        <f>IF('امتیاز دهی خبرگان'!$C44=0,0,IF('امتیاز دهی خبرگان'!$C44=1,'طیف فازی'!$C$2,IF('امتیاز دهی خبرگان'!$C44=2,'طیف فازی'!$C$3,IF('امتیاز دهی خبرگان'!$C44=3,'طیف فازی'!$C$4,IF('امتیاز دهی خبرگان'!$C44=4,'طیف فازی'!$C$5,'طیف فازی'!$C$6)))))</f>
        <v>1</v>
      </c>
      <c r="E44" s="19">
        <f>IF('امتیاز دهی خبرگان'!$C44=0,0,IF('امتیاز دهی خبرگان'!$C44=1,'طیف فازی'!$D$2,IF('امتیاز دهی خبرگان'!$C44=2,'طیف فازی'!$D$3,IF('امتیاز دهی خبرگان'!$C44=3,'طیف فازی'!$D$4,IF('امتیاز دهی خبرگان'!$C44=4,'طیف فازی'!$D$5,'طیف فازی'!$D$6)))))</f>
        <v>1</v>
      </c>
      <c r="F44" s="20">
        <f>IF('امتیاز دهی خبرگان'!$D44=0,0,IF('امتیاز دهی خبرگان'!$D44=1,'طیف فازی'!$B$2,IF('امتیاز دهی خبرگان'!$D44=2,'طیف فازی'!$B$3,IF('امتیاز دهی خبرگان'!$D44=3,'طیف فازی'!$B$4,IF('امتیاز دهی خبرگان'!$D44=4,'طیف فازی'!$B$5,'طیف فازی'!$B$6)))))</f>
        <v>0</v>
      </c>
      <c r="G44" s="21">
        <f>IF('امتیاز دهی خبرگان'!$D44=0,0,IF('امتیاز دهی خبرگان'!$D44=1,'طیف فازی'!$D$2,IF('امتیاز دهی خبرگان'!$D44=2,'طیف فازی'!$C$3,IF('امتیاز دهی خبرگان'!$D44=3,'طیف فازی'!$C$4,IF('امتیاز دهی خبرگان'!$D44=4,'طیف فازی'!$C$5,'طیف فازی'!$C$6)))))</f>
        <v>0.25</v>
      </c>
      <c r="H44" s="22">
        <f>IF('امتیاز دهی خبرگان'!$D44=0,0,IF('امتیاز دهی خبرگان'!$D44=1,'طیف فازی'!$D$2,IF('امتیاز دهی خبرگان'!$D44=2,'طیف فازی'!$D$3,IF('امتیاز دهی خبرگان'!$D44=3,'طیف فازی'!$D$4,IF('امتیاز دهی خبرگان'!$D44=4,'طیف فازی'!$D$5,'طیف فازی'!$D$6)))))</f>
        <v>0.25</v>
      </c>
      <c r="I44" s="17">
        <f>IF('امتیاز دهی خبرگان'!$E44=0,0,IF('امتیاز دهی خبرگان'!$E44=1,'طیف فازی'!$B$2,IF('امتیاز دهی خبرگان'!$E44=2,'طیف فازی'!$B$3,IF('امتیاز دهی خبرگان'!$E44=3,'طیف فازی'!$B$4,IF('امتیاز دهی خبرگان'!$E44=4,'طیف فازی'!$B$5,'طیف فازی'!$B$6)))))</f>
        <v>0.5</v>
      </c>
      <c r="J44" s="18">
        <f>IF('امتیاز دهی خبرگان'!$E44=0,0,IF('امتیاز دهی خبرگان'!$E44=1,'طیف فازی'!$C$2,IF('امتیاز دهی خبرگان'!$E44=2,'طیف فازی'!$C$3,IF('امتیاز دهی خبرگان'!$E44=3,'طیف فازی'!$C$4,IF('امتیاز دهی خبرگان'!$E44=4,'طیف فازی'!$C$5,'طیف فازی'!$C$6)))))</f>
        <v>0.75</v>
      </c>
      <c r="K44" s="19">
        <f>IF('امتیاز دهی خبرگان'!$E44=0,0,IF('امتیاز دهی خبرگان'!$E44=1,'طیف فازی'!$D$2,IF('امتیاز دهی خبرگان'!$E44=2,'طیف فازی'!$D$3,IF('امتیاز دهی خبرگان'!$E44=3,'طیف فازی'!$D$4,IF('امتیاز دهی خبرگان'!$E44=4,'طیف فازی'!$D$5,'طیف فازی'!$D$6)))))</f>
        <v>1</v>
      </c>
      <c r="L44" s="17">
        <f>IF('امتیاز دهی خبرگان'!$F44=0,0,IF('امتیاز دهی خبرگان'!$F44=1,'طیف فازی'!$B$2,IF('امتیاز دهی خبرگان'!$F44=2,'طیف فازی'!$B$3,IF('امتیاز دهی خبرگان'!$F44=3,'طیف فازی'!$B$4,IF('امتیاز دهی خبرگان'!$F44=4,'طیف فازی'!$B$5,'طیف فازی'!$B$6)))))</f>
        <v>0.75</v>
      </c>
      <c r="M44" s="18">
        <f>IF('امتیاز دهی خبرگان'!$F44=0,0,IF('امتیاز دهی خبرگان'!$F44=1,'طیف فازی'!$C$2,IF('امتیاز دهی خبرگان'!$F44=2,'طیف فازی'!$C$3,IF('امتیاز دهی خبرگان'!$F44=3,'طیف فازی'!$C$4,IF('امتیاز دهی خبرگان'!$F44=4,'طیف فازی'!$C$5,'طیف فازی'!$C$6)))))</f>
        <v>1</v>
      </c>
      <c r="N44" s="19">
        <f>IF('امتیاز دهی خبرگان'!$F44=0,0,IF('امتیاز دهی خبرگان'!$F44=1,'طیف فازی'!$D$2,IF('امتیاز دهی خبرگان'!$F44=2,'طیف فازی'!$D$3,IF('امتیاز دهی خبرگان'!$F44=3,'طیف فازی'!$D$4,IF('امتیاز دهی خبرگان'!$F44=4,'طیف فازی'!$D$5,'طیف فازی'!$D$6)))))</f>
        <v>1</v>
      </c>
      <c r="O44" s="17">
        <f>IF('امتیاز دهی خبرگان'!$G44=0,0,IF('امتیاز دهی خبرگان'!$G44=1,'طیف فازی'!$B$2,IF('امتیاز دهی خبرگان'!$G44=2,'طیف فازی'!$B$3,IF('امتیاز دهی خبرگان'!$G44=3,'طیف فازی'!$B$4,IF('امتیاز دهی خبرگان'!$G44=4,'طیف فازی'!$B$5,'طیف فازی'!$B$6)))))</f>
        <v>0</v>
      </c>
      <c r="P44" s="18">
        <f>IF('امتیاز دهی خبرگان'!$G44=0,0,IF('امتیاز دهی خبرگان'!$G44=1,'طیف فازی'!$C$2,IF('امتیاز دهی خبرگان'!$G44=2,'طیف فازی'!$C$3,IF('امتیاز دهی خبرگان'!$G44=3,'طیف فازی'!$C$4,IF('امتیاز دهی خبرگان'!$G44=4,'طیف فازی'!$C$5,'طیف فازی'!$C$6)))))</f>
        <v>0.25</v>
      </c>
      <c r="Q44" s="19">
        <f>IF('امتیاز دهی خبرگان'!$G44=0,0,IF('امتیاز دهی خبرگان'!$G44=1,'طیف فازی'!$D$2,IF('امتیاز دهی خبرگان'!$G44=2,'طیف فازی'!$D$3,IF('امتیاز دهی خبرگان'!$G44=3,'طیف فازی'!$D$4,IF('امتیاز دهی خبرگان'!$G44=4,'طیف فازی'!$D$5,'طیف فازی'!$D$6)))))</f>
        <v>0.5</v>
      </c>
      <c r="R44" s="17">
        <f>IF('امتیاز دهی خبرگان'!$H44=0,0,IF('امتیاز دهی خبرگان'!$H44=1,'طیف فازی'!$B$2,IF('امتیاز دهی خبرگان'!$H44=2,'طیف فازی'!$B$3,IF('امتیاز دهی خبرگان'!$H44=3,'طیف فازی'!$B$4,IF('امتیاز دهی خبرگان'!$H44=4,'طیف فازی'!$B$5,'طیف فازی'!$B$6)))))</f>
        <v>0.5</v>
      </c>
      <c r="S44" s="18">
        <f>IF('امتیاز دهی خبرگان'!$H44=0,0,IF('امتیاز دهی خبرگان'!$H44=1,'طیف فازی'!$C$2,IF('امتیاز دهی خبرگان'!$H44=2,'طیف فازی'!$C$3,IF('امتیاز دهی خبرگان'!$H44=3,'طیف فازی'!$C$4,IF('امتیاز دهی خبرگان'!$H44=4,'طیف فازی'!$C$5,'طیف فازی'!$C$6)))))</f>
        <v>0.75</v>
      </c>
      <c r="T44" s="19">
        <f>IF('امتیاز دهی خبرگان'!$H44=0,0,IF('امتیاز دهی خبرگان'!$H44=1,'طیف فازی'!$D$2,IF('امتیاز دهی خبرگان'!$H44=2,'طیف فازی'!$D$3,IF('امتیاز دهی خبرگان'!$H44=3,'طیف فازی'!$D$4,IF('امتیاز دهی خبرگان'!$H44=4,'طیف فازی'!$D$5,'طیف فازی'!$D$6)))))</f>
        <v>1</v>
      </c>
      <c r="U44" s="17">
        <f>IF('امتیاز دهی خبرگان'!$I44=0,0,IF('امتیاز دهی خبرگان'!$I44=1,'طیف فازی'!$B$2,IF('امتیاز دهی خبرگان'!$I44=2,'طیف فازی'!$B$3,IF('امتیاز دهی خبرگان'!$I44=3,'طیف فازی'!$B$4,IF('امتیاز دهی خبرگان'!$I44=4,'طیف فازی'!$B$5,'طیف فازی'!$B$6)))))</f>
        <v>0.25</v>
      </c>
      <c r="V44" s="18">
        <f>IF('امتیاز دهی خبرگان'!$I44=0,0,IF('امتیاز دهی خبرگان'!$I44=1,'طیف فازی'!$C$2,IF('امتیاز دهی خبرگان'!$I44=2,'طیف فازی'!$C$3,IF('امتیاز دهی خبرگان'!$I44=3,'طیف فازی'!$C$4,IF('امتیاز دهی خبرگان'!$I44=4,'طیف فازی'!$C$5,'طیف فازی'!$C$6)))))</f>
        <v>0.5</v>
      </c>
      <c r="W44" s="19">
        <f>IF('امتیاز دهی خبرگان'!$I44=0,0,IF('امتیاز دهی خبرگان'!$I44=1,'طیف فازی'!$D$2,IF('امتیاز دهی خبرگان'!$I44=2,'طیف فازی'!$D$3,IF('امتیاز دهی خبرگان'!$I44=3,'طیف فازی'!$D$4,IF('امتیاز دهی خبرگان'!$I44=4,'طیف فازی'!$D$5,'طیف فازی'!$D$6)))))</f>
        <v>0.75</v>
      </c>
      <c r="X44" s="17">
        <f>IF('امتیاز دهی خبرگان'!$J44=0,0,IF('امتیاز دهی خبرگان'!$J44=1,'طیف فازی'!$B$2,IF('امتیاز دهی خبرگان'!$J44=2,'طیف فازی'!$B$3,IF('امتیاز دهی خبرگان'!$J44=3,'طیف فازی'!$B$4,IF('امتیاز دهی خبرگان'!$J44=4,'طیف فازی'!$B$5,'طیف فازی'!$B$6)))))</f>
        <v>0</v>
      </c>
      <c r="Y44" s="18">
        <f>IF('امتیاز دهی خبرگان'!$J44=0,0,IF('امتیاز دهی خبرگان'!$J44=1,'طیف فازی'!$C$2,IF('امتیاز دهی خبرگان'!$J44=2,'طیف فازی'!$C$3,IF('امتیاز دهی خبرگان'!$J44=3,'طیف فازی'!$C$4,IF('امتیاز دهی خبرگان'!$J44=4,'طیف فازی'!$C$5,'طیف فازی'!$C$6)))))</f>
        <v>0.25</v>
      </c>
      <c r="Z44" s="19">
        <f>IF('امتیاز دهی خبرگان'!$J44=0,0,IF('امتیاز دهی خبرگان'!$J44=1,'طیف فازی'!$D$2,IF('امتیاز دهی خبرگان'!$J44=2,'طیف فازی'!$D$3,IF('امتیاز دهی خبرگان'!$J44=3,'طیف فازی'!$D$4,IF('امتیاز دهی خبرگان'!$J44=4,'طیف فازی'!$D$5,'طیف فازی'!$D$6)))))</f>
        <v>0.5</v>
      </c>
      <c r="AA44" s="17">
        <f>IF('امتیاز دهی خبرگان'!$K44=0,0,IF('امتیاز دهی خبرگان'!$K44=1,'طیف فازی'!$B$2,IF('امتیاز دهی خبرگان'!$K44=2,'طیف فازی'!$B$3,IF('امتیاز دهی خبرگان'!$K44=3,'طیف فازی'!$B$4,IF('امتیاز دهی خبرگان'!$K44=4,'طیف فازی'!$B$5,'طیف فازی'!$B$6)))))</f>
        <v>0</v>
      </c>
      <c r="AB44" s="18">
        <f>IF('امتیاز دهی خبرگان'!$K44=0,0,IF('امتیاز دهی خبرگان'!$K44=1,'طیف فازی'!$C$2,IF('امتیاز دهی خبرگان'!$K44=2,'طیف فازی'!$C$3,IF('امتیاز دهی خبرگان'!$K44=3,'طیف فازی'!$C$4,IF('امتیاز دهی خبرگان'!$K44=4,'طیف فازی'!$C$5,'طیف فازی'!$C$6)))))</f>
        <v>0</v>
      </c>
      <c r="AC44" s="19">
        <f>IF('امتیاز دهی خبرگان'!$K44=0,0,IF('امتیاز دهی خبرگان'!$K44=1,'طیف فازی'!$D$2,IF('امتیاز دهی خبرگان'!$K44=2,'طیف فازی'!$D$3,IF('امتیاز دهی خبرگان'!$K44=3,'طیف فازی'!$D$4,IF('امتیاز دهی خبرگان'!$K44=4,'طیف فازی'!$D$5,'طیف فازی'!$D$6)))))</f>
        <v>0.25</v>
      </c>
      <c r="AD44" s="17">
        <f>IF('امتیاز دهی خبرگان'!$L44=0,0,IF('امتیاز دهی خبرگان'!$L44=1,'طیف فازی'!$B$2,IF('امتیاز دهی خبرگان'!$L44=2,'طیف فازی'!$B$3,IF('امتیاز دهی خبرگان'!$L44=3,'طیف فازی'!$B$4,IF('امتیاز دهی خبرگان'!$L44=4,'طیف فازی'!$B$5,'طیف فازی'!$B$6)))))</f>
        <v>0.5</v>
      </c>
      <c r="AE44" s="18">
        <f>IF('امتیاز دهی خبرگان'!$L44=0,0,IF('امتیاز دهی خبرگان'!$L44=1,'طیف فازی'!$C$2,IF('امتیاز دهی خبرگان'!$L44=2,'طیف فازی'!$C$3,IF('امتیاز دهی خبرگان'!$L44=3,'طیف فازی'!$C$4,IF('امتیاز دهی خبرگان'!$L44=4,'طیف فازی'!$C$5,'طیف فازی'!$C$6)))))</f>
        <v>0.75</v>
      </c>
      <c r="AF44" s="19">
        <f>IF('امتیاز دهی خبرگان'!$L44=0,0,IF('امتیاز دهی خبرگان'!$L44=1,'طیف فازی'!$D$2,IF('امتیاز دهی خبرگان'!$L44=2,'طیف فازی'!$D$3,IF('امتیاز دهی خبرگان'!$L44=3,'طیف فازی'!$D$4,IF('امتیاز دهی خبرگان'!$L44=4,'طیف فازی'!$D$5,'طیف فازی'!$D$6)))))</f>
        <v>1</v>
      </c>
      <c r="AG44" s="17">
        <f>IF('امتیاز دهی خبرگان'!$M44=0,0,IF('امتیاز دهی خبرگان'!$M44=1,'طیف فازی'!$B$2,IF('امتیاز دهی خبرگان'!$M44=2,'طیف فازی'!$B$3,IF('امتیاز دهی خبرگان'!$M44=3,'طیف فازی'!$B$4,IF('امتیاز دهی خبرگان'!$M44=4,'طیف فازی'!$B$5,'طیف فازی'!$B$6)))))</f>
        <v>0.5</v>
      </c>
      <c r="AH44" s="18">
        <f>IF('امتیاز دهی خبرگان'!$M44=0,0,IF('امتیاز دهی خبرگان'!$M44=1,'طیف فازی'!$C$2,IF('امتیاز دهی خبرگان'!$M44=2,'طیف فازی'!$C$3,IF('امتیاز دهی خبرگان'!$M44=3,'طیف فازی'!$C$4,IF('امتیاز دهی خبرگان'!$M44=4,'طیف فازی'!$C$5,'طیف فازی'!$C$6)))))</f>
        <v>0.75</v>
      </c>
      <c r="AI44" s="19">
        <f>IF('امتیاز دهی خبرگان'!$M44=0,0,IF('امتیاز دهی خبرگان'!$M44=1,'طیف فازی'!$D$2,IF('امتیاز دهی خبرگان'!$M44=2,'طیف فازی'!$D$3,IF('امتیاز دهی خبرگان'!$M44=3,'طیف فازی'!$D$4,IF('امتیاز دهی خبرگان'!$M44=4,'طیف فازی'!$D$5,'طیف فازی'!$D$6)))))</f>
        <v>1</v>
      </c>
      <c r="AJ44" s="17">
        <f>IF('امتیاز دهی خبرگان'!$N44=0,0,IF('امتیاز دهی خبرگان'!$N44=1,'طیف فازی'!$B$2,IF('امتیاز دهی خبرگان'!$N44=2,'طیف فازی'!$B$3,IF('امتیاز دهی خبرگان'!$N44=3,'طیف فازی'!$B$4,IF('امتیاز دهی خبرگان'!$N44=4,'طیف فازی'!$B$5,'طیف فازی'!$B$6)))))</f>
        <v>0.25</v>
      </c>
      <c r="AK44" s="18">
        <f>IF('امتیاز دهی خبرگان'!$N44=0,0,IF('امتیاز دهی خبرگان'!$N44=1,'طیف فازی'!$C$2,IF('امتیاز دهی خبرگان'!$N44=2,'طیف فازی'!$C$3,IF('امتیاز دهی خبرگان'!$N44=3,'طیف فازی'!$C$4,IF('امتیاز دهی خبرگان'!$N44=4,'طیف فازی'!$C$5,'طیف فازی'!$C$6)))))</f>
        <v>0.5</v>
      </c>
      <c r="AL44" s="19">
        <f>IF('امتیاز دهی خبرگان'!$N44=0,0,IF('امتیاز دهی خبرگان'!$N44=1,'طیف فازی'!$D$2,IF('امتیاز دهی خبرگان'!$N44=2,'طیف فازی'!$D$3,IF('امتیاز دهی خبرگان'!$N44=3,'طیف فازی'!$D$4,IF('امتیاز دهی خبرگان'!$N44=4,'طیف فازی'!$D$5,'طیف فازی'!$D$6)))))</f>
        <v>0.75</v>
      </c>
      <c r="AM44" s="23">
        <f t="shared" si="1"/>
        <v>4</v>
      </c>
      <c r="AN44" s="23">
        <f t="shared" si="2"/>
        <v>6.75</v>
      </c>
      <c r="AO44" s="24">
        <f t="shared" si="3"/>
        <v>9</v>
      </c>
      <c r="AP44" s="25">
        <f t="shared" si="4"/>
        <v>0.33333333333333331</v>
      </c>
      <c r="AQ44" s="23">
        <f t="shared" si="5"/>
        <v>0.5625</v>
      </c>
      <c r="AR44" s="24">
        <f t="shared" si="6"/>
        <v>0.75</v>
      </c>
      <c r="AS44" s="24">
        <f t="shared" si="7"/>
        <v>0.54861111111111105</v>
      </c>
      <c r="AT44" s="24" t="str">
        <f t="shared" si="8"/>
        <v>Not Pass</v>
      </c>
    </row>
    <row r="45" spans="2:46" ht="23.25" customHeight="1" thickBot="1" x14ac:dyDescent="0.85">
      <c r="B45" s="2">
        <v>43</v>
      </c>
      <c r="C45" s="17">
        <f>IF('امتیاز دهی خبرگان'!$C45=0,0,IF('امتیاز دهی خبرگان'!$C45=1,'طیف فازی'!$B$2,IF('امتیاز دهی خبرگان'!$C45=2,'طیف فازی'!$B$3,IF('امتیاز دهی خبرگان'!$C45=3,'طیف فازی'!$B$4,IF('امتیاز دهی خبرگان'!$C45=4,'طیف فازی'!$B$5,'طیف فازی'!$B$6)))))</f>
        <v>0.75</v>
      </c>
      <c r="D45" s="18">
        <f>IF('امتیاز دهی خبرگان'!$C45=0,0,IF('امتیاز دهی خبرگان'!$C45=1,'طیف فازی'!$C$2,IF('امتیاز دهی خبرگان'!$C45=2,'طیف فازی'!$C$3,IF('امتیاز دهی خبرگان'!$C45=3,'طیف فازی'!$C$4,IF('امتیاز دهی خبرگان'!$C45=4,'طیف فازی'!$C$5,'طیف فازی'!$C$6)))))</f>
        <v>1</v>
      </c>
      <c r="E45" s="19">
        <f>IF('امتیاز دهی خبرگان'!$C45=0,0,IF('امتیاز دهی خبرگان'!$C45=1,'طیف فازی'!$D$2,IF('امتیاز دهی خبرگان'!$C45=2,'طیف فازی'!$D$3,IF('امتیاز دهی خبرگان'!$C45=3,'طیف فازی'!$D$4,IF('امتیاز دهی خبرگان'!$C45=4,'طیف فازی'!$D$5,'طیف فازی'!$D$6)))))</f>
        <v>1</v>
      </c>
      <c r="F45" s="20">
        <f>IF('امتیاز دهی خبرگان'!$D45=0,0,IF('امتیاز دهی خبرگان'!$D45=1,'طیف فازی'!$B$2,IF('امتیاز دهی خبرگان'!$D45=2,'طیف فازی'!$B$3,IF('امتیاز دهی خبرگان'!$D45=3,'طیف فازی'!$B$4,IF('امتیاز دهی خبرگان'!$D45=4,'طیف فازی'!$B$5,'طیف فازی'!$B$6)))))</f>
        <v>0</v>
      </c>
      <c r="G45" s="21">
        <f>IF('امتیاز دهی خبرگان'!$D45=0,0,IF('امتیاز دهی خبرگان'!$D45=1,'طیف فازی'!$D$2,IF('امتیاز دهی خبرگان'!$D45=2,'طیف فازی'!$C$3,IF('امتیاز دهی خبرگان'!$D45=3,'طیف فازی'!$C$4,IF('امتیاز دهی خبرگان'!$D45=4,'طیف فازی'!$C$5,'طیف فازی'!$C$6)))))</f>
        <v>0.25</v>
      </c>
      <c r="H45" s="22">
        <f>IF('امتیاز دهی خبرگان'!$D45=0,0,IF('امتیاز دهی خبرگان'!$D45=1,'طیف فازی'!$D$2,IF('امتیاز دهی خبرگان'!$D45=2,'طیف فازی'!$D$3,IF('امتیاز دهی خبرگان'!$D45=3,'طیف فازی'!$D$4,IF('امتیاز دهی خبرگان'!$D45=4,'طیف فازی'!$D$5,'طیف فازی'!$D$6)))))</f>
        <v>0.5</v>
      </c>
      <c r="I45" s="17">
        <f>IF('امتیاز دهی خبرگان'!$E45=0,0,IF('امتیاز دهی خبرگان'!$E45=1,'طیف فازی'!$B$2,IF('امتیاز دهی خبرگان'!$E45=2,'طیف فازی'!$B$3,IF('امتیاز دهی خبرگان'!$E45=3,'طیف فازی'!$B$4,IF('امتیاز دهی خبرگان'!$E45=4,'طیف فازی'!$B$5,'طیف فازی'!$B$6)))))</f>
        <v>0.5</v>
      </c>
      <c r="J45" s="18">
        <f>IF('امتیاز دهی خبرگان'!$E45=0,0,IF('امتیاز دهی خبرگان'!$E45=1,'طیف فازی'!$C$2,IF('امتیاز دهی خبرگان'!$E45=2,'طیف فازی'!$C$3,IF('امتیاز دهی خبرگان'!$E45=3,'طیف فازی'!$C$4,IF('امتیاز دهی خبرگان'!$E45=4,'طیف فازی'!$C$5,'طیف فازی'!$C$6)))))</f>
        <v>0.75</v>
      </c>
      <c r="K45" s="19">
        <f>IF('امتیاز دهی خبرگان'!$E45=0,0,IF('امتیاز دهی خبرگان'!$E45=1,'طیف فازی'!$D$2,IF('امتیاز دهی خبرگان'!$E45=2,'طیف فازی'!$D$3,IF('امتیاز دهی خبرگان'!$E45=3,'طیف فازی'!$D$4,IF('امتیاز دهی خبرگان'!$E45=4,'طیف فازی'!$D$5,'طیف فازی'!$D$6)))))</f>
        <v>1</v>
      </c>
      <c r="L45" s="17">
        <f>IF('امتیاز دهی خبرگان'!$F45=0,0,IF('امتیاز دهی خبرگان'!$F45=1,'طیف فازی'!$B$2,IF('امتیاز دهی خبرگان'!$F45=2,'طیف فازی'!$B$3,IF('امتیاز دهی خبرگان'!$F45=3,'طیف فازی'!$B$4,IF('امتیاز دهی خبرگان'!$F45=4,'طیف فازی'!$B$5,'طیف فازی'!$B$6)))))</f>
        <v>0.75</v>
      </c>
      <c r="M45" s="18">
        <f>IF('امتیاز دهی خبرگان'!$F45=0,0,IF('امتیاز دهی خبرگان'!$F45=1,'طیف فازی'!$C$2,IF('امتیاز دهی خبرگان'!$F45=2,'طیف فازی'!$C$3,IF('امتیاز دهی خبرگان'!$F45=3,'طیف فازی'!$C$4,IF('امتیاز دهی خبرگان'!$F45=4,'طیف فازی'!$C$5,'طیف فازی'!$C$6)))))</f>
        <v>1</v>
      </c>
      <c r="N45" s="19">
        <f>IF('امتیاز دهی خبرگان'!$F45=0,0,IF('امتیاز دهی خبرگان'!$F45=1,'طیف فازی'!$D$2,IF('امتیاز دهی خبرگان'!$F45=2,'طیف فازی'!$D$3,IF('امتیاز دهی خبرگان'!$F45=3,'طیف فازی'!$D$4,IF('امتیاز دهی خبرگان'!$F45=4,'طیف فازی'!$D$5,'طیف فازی'!$D$6)))))</f>
        <v>1</v>
      </c>
      <c r="O45" s="17">
        <f>IF('امتیاز دهی خبرگان'!$G45=0,0,IF('امتیاز دهی خبرگان'!$G45=1,'طیف فازی'!$B$2,IF('امتیاز دهی خبرگان'!$G45=2,'طیف فازی'!$B$3,IF('امتیاز دهی خبرگان'!$G45=3,'طیف فازی'!$B$4,IF('امتیاز دهی خبرگان'!$G45=4,'طیف فازی'!$B$5,'طیف فازی'!$B$6)))))</f>
        <v>0</v>
      </c>
      <c r="P45" s="18">
        <f>IF('امتیاز دهی خبرگان'!$G45=0,0,IF('امتیاز دهی خبرگان'!$G45=1,'طیف فازی'!$C$2,IF('امتیاز دهی خبرگان'!$G45=2,'طیف فازی'!$C$3,IF('امتیاز دهی خبرگان'!$G45=3,'طیف فازی'!$C$4,IF('امتیاز دهی خبرگان'!$G45=4,'طیف فازی'!$C$5,'طیف فازی'!$C$6)))))</f>
        <v>0.25</v>
      </c>
      <c r="Q45" s="19">
        <f>IF('امتیاز دهی خبرگان'!$G45=0,0,IF('امتیاز دهی خبرگان'!$G45=1,'طیف فازی'!$D$2,IF('امتیاز دهی خبرگان'!$G45=2,'طیف فازی'!$D$3,IF('امتیاز دهی خبرگان'!$G45=3,'طیف فازی'!$D$4,IF('امتیاز دهی خبرگان'!$G45=4,'طیف فازی'!$D$5,'طیف فازی'!$D$6)))))</f>
        <v>0.5</v>
      </c>
      <c r="R45" s="17">
        <f>IF('امتیاز دهی خبرگان'!$H45=0,0,IF('امتیاز دهی خبرگان'!$H45=1,'طیف فازی'!$B$2,IF('امتیاز دهی خبرگان'!$H45=2,'طیف فازی'!$B$3,IF('امتیاز دهی خبرگان'!$H45=3,'طیف فازی'!$B$4,IF('امتیاز دهی خبرگان'!$H45=4,'طیف فازی'!$B$5,'طیف فازی'!$B$6)))))</f>
        <v>0</v>
      </c>
      <c r="S45" s="18">
        <f>IF('امتیاز دهی خبرگان'!$H45=0,0,IF('امتیاز دهی خبرگان'!$H45=1,'طیف فازی'!$C$2,IF('امتیاز دهی خبرگان'!$H45=2,'طیف فازی'!$C$3,IF('امتیاز دهی خبرگان'!$H45=3,'طیف فازی'!$C$4,IF('امتیاز دهی خبرگان'!$H45=4,'طیف فازی'!$C$5,'طیف فازی'!$C$6)))))</f>
        <v>0.25</v>
      </c>
      <c r="T45" s="19">
        <f>IF('امتیاز دهی خبرگان'!$H45=0,0,IF('امتیاز دهی خبرگان'!$H45=1,'طیف فازی'!$D$2,IF('امتیاز دهی خبرگان'!$H45=2,'طیف فازی'!$D$3,IF('امتیاز دهی خبرگان'!$H45=3,'طیف فازی'!$D$4,IF('امتیاز دهی خبرگان'!$H45=4,'طیف فازی'!$D$5,'طیف فازی'!$D$6)))))</f>
        <v>0.5</v>
      </c>
      <c r="U45" s="17">
        <f>IF('امتیاز دهی خبرگان'!$I45=0,0,IF('امتیاز دهی خبرگان'!$I45=1,'طیف فازی'!$B$2,IF('امتیاز دهی خبرگان'!$I45=2,'طیف فازی'!$B$3,IF('امتیاز دهی خبرگان'!$I45=3,'طیف فازی'!$B$4,IF('امتیاز دهی خبرگان'!$I45=4,'طیف فازی'!$B$5,'طیف فازی'!$B$6)))))</f>
        <v>0.5</v>
      </c>
      <c r="V45" s="18">
        <f>IF('امتیاز دهی خبرگان'!$I45=0,0,IF('امتیاز دهی خبرگان'!$I45=1,'طیف فازی'!$C$2,IF('امتیاز دهی خبرگان'!$I45=2,'طیف فازی'!$C$3,IF('امتیاز دهی خبرگان'!$I45=3,'طیف فازی'!$C$4,IF('امتیاز دهی خبرگان'!$I45=4,'طیف فازی'!$C$5,'طیف فازی'!$C$6)))))</f>
        <v>0.75</v>
      </c>
      <c r="W45" s="19">
        <f>IF('امتیاز دهی خبرگان'!$I45=0,0,IF('امتیاز دهی خبرگان'!$I45=1,'طیف فازی'!$D$2,IF('امتیاز دهی خبرگان'!$I45=2,'طیف فازی'!$D$3,IF('امتیاز دهی خبرگان'!$I45=3,'طیف فازی'!$D$4,IF('امتیاز دهی خبرگان'!$I45=4,'طیف فازی'!$D$5,'طیف فازی'!$D$6)))))</f>
        <v>1</v>
      </c>
      <c r="X45" s="17">
        <f>IF('امتیاز دهی خبرگان'!$J45=0,0,IF('امتیاز دهی خبرگان'!$J45=1,'طیف فازی'!$B$2,IF('امتیاز دهی خبرگان'!$J45=2,'طیف فازی'!$B$3,IF('امتیاز دهی خبرگان'!$J45=3,'طیف فازی'!$B$4,IF('امتیاز دهی خبرگان'!$J45=4,'طیف فازی'!$B$5,'طیف فازی'!$B$6)))))</f>
        <v>0.5</v>
      </c>
      <c r="Y45" s="18">
        <f>IF('امتیاز دهی خبرگان'!$J45=0,0,IF('امتیاز دهی خبرگان'!$J45=1,'طیف فازی'!$C$2,IF('امتیاز دهی خبرگان'!$J45=2,'طیف فازی'!$C$3,IF('امتیاز دهی خبرگان'!$J45=3,'طیف فازی'!$C$4,IF('امتیاز دهی خبرگان'!$J45=4,'طیف فازی'!$C$5,'طیف فازی'!$C$6)))))</f>
        <v>0.75</v>
      </c>
      <c r="Z45" s="19">
        <f>IF('امتیاز دهی خبرگان'!$J45=0,0,IF('امتیاز دهی خبرگان'!$J45=1,'طیف فازی'!$D$2,IF('امتیاز دهی خبرگان'!$J45=2,'طیف فازی'!$D$3,IF('امتیاز دهی خبرگان'!$J45=3,'طیف فازی'!$D$4,IF('امتیاز دهی خبرگان'!$J45=4,'طیف فازی'!$D$5,'طیف فازی'!$D$6)))))</f>
        <v>1</v>
      </c>
      <c r="AA45" s="17">
        <f>IF('امتیاز دهی خبرگان'!$K45=0,0,IF('امتیاز دهی خبرگان'!$K45=1,'طیف فازی'!$B$2,IF('امتیاز دهی خبرگان'!$K45=2,'طیف فازی'!$B$3,IF('امتیاز دهی خبرگان'!$K45=3,'طیف فازی'!$B$4,IF('امتیاز دهی خبرگان'!$K45=4,'طیف فازی'!$B$5,'طیف فازی'!$B$6)))))</f>
        <v>0.25</v>
      </c>
      <c r="AB45" s="18">
        <f>IF('امتیاز دهی خبرگان'!$K45=0,0,IF('امتیاز دهی خبرگان'!$K45=1,'طیف فازی'!$C$2,IF('امتیاز دهی خبرگان'!$K45=2,'طیف فازی'!$C$3,IF('امتیاز دهی خبرگان'!$K45=3,'طیف فازی'!$C$4,IF('امتیاز دهی خبرگان'!$K45=4,'طیف فازی'!$C$5,'طیف فازی'!$C$6)))))</f>
        <v>0.5</v>
      </c>
      <c r="AC45" s="19">
        <f>IF('امتیاز دهی خبرگان'!$K45=0,0,IF('امتیاز دهی خبرگان'!$K45=1,'طیف فازی'!$D$2,IF('امتیاز دهی خبرگان'!$K45=2,'طیف فازی'!$D$3,IF('امتیاز دهی خبرگان'!$K45=3,'طیف فازی'!$D$4,IF('امتیاز دهی خبرگان'!$K45=4,'طیف فازی'!$D$5,'طیف فازی'!$D$6)))))</f>
        <v>0.75</v>
      </c>
      <c r="AD45" s="17">
        <f>IF('امتیاز دهی خبرگان'!$L45=0,0,IF('امتیاز دهی خبرگان'!$L45=1,'طیف فازی'!$B$2,IF('امتیاز دهی خبرگان'!$L45=2,'طیف فازی'!$B$3,IF('امتیاز دهی خبرگان'!$L45=3,'طیف فازی'!$B$4,IF('امتیاز دهی خبرگان'!$L45=4,'طیف فازی'!$B$5,'طیف فازی'!$B$6)))))</f>
        <v>0.25</v>
      </c>
      <c r="AE45" s="18">
        <f>IF('امتیاز دهی خبرگان'!$L45=0,0,IF('امتیاز دهی خبرگان'!$L45=1,'طیف فازی'!$C$2,IF('امتیاز دهی خبرگان'!$L45=2,'طیف فازی'!$C$3,IF('امتیاز دهی خبرگان'!$L45=3,'طیف فازی'!$C$4,IF('امتیاز دهی خبرگان'!$L45=4,'طیف فازی'!$C$5,'طیف فازی'!$C$6)))))</f>
        <v>0.5</v>
      </c>
      <c r="AF45" s="19">
        <f>IF('امتیاز دهی خبرگان'!$L45=0,0,IF('امتیاز دهی خبرگان'!$L45=1,'طیف فازی'!$D$2,IF('امتیاز دهی خبرگان'!$L45=2,'طیف فازی'!$D$3,IF('امتیاز دهی خبرگان'!$L45=3,'طیف فازی'!$D$4,IF('امتیاز دهی خبرگان'!$L45=4,'طیف فازی'!$D$5,'طیف فازی'!$D$6)))))</f>
        <v>0.75</v>
      </c>
      <c r="AG45" s="17">
        <f>IF('امتیاز دهی خبرگان'!$M45=0,0,IF('امتیاز دهی خبرگان'!$M45=1,'طیف فازی'!$B$2,IF('امتیاز دهی خبرگان'!$M45=2,'طیف فازی'!$B$3,IF('امتیاز دهی خبرگان'!$M45=3,'طیف فازی'!$B$4,IF('امتیاز دهی خبرگان'!$M45=4,'طیف فازی'!$B$5,'طیف فازی'!$B$6)))))</f>
        <v>0.25</v>
      </c>
      <c r="AH45" s="18">
        <f>IF('امتیاز دهی خبرگان'!$M45=0,0,IF('امتیاز دهی خبرگان'!$M45=1,'طیف فازی'!$C$2,IF('امتیاز دهی خبرگان'!$M45=2,'طیف فازی'!$C$3,IF('امتیاز دهی خبرگان'!$M45=3,'طیف فازی'!$C$4,IF('امتیاز دهی خبرگان'!$M45=4,'طیف فازی'!$C$5,'طیف فازی'!$C$6)))))</f>
        <v>0.5</v>
      </c>
      <c r="AI45" s="19">
        <f>IF('امتیاز دهی خبرگان'!$M45=0,0,IF('امتیاز دهی خبرگان'!$M45=1,'طیف فازی'!$D$2,IF('امتیاز دهی خبرگان'!$M45=2,'طیف فازی'!$D$3,IF('امتیاز دهی خبرگان'!$M45=3,'طیف فازی'!$D$4,IF('امتیاز دهی خبرگان'!$M45=4,'طیف فازی'!$D$5,'طیف فازی'!$D$6)))))</f>
        <v>0.75</v>
      </c>
      <c r="AJ45" s="17">
        <f>IF('امتیاز دهی خبرگان'!$N45=0,0,IF('امتیاز دهی خبرگان'!$N45=1,'طیف فازی'!$B$2,IF('امتیاز دهی خبرگان'!$N45=2,'طیف فازی'!$B$3,IF('امتیاز دهی خبرگان'!$N45=3,'طیف فازی'!$B$4,IF('امتیاز دهی خبرگان'!$N45=4,'طیف فازی'!$B$5,'طیف فازی'!$B$6)))))</f>
        <v>0.5</v>
      </c>
      <c r="AK45" s="18">
        <f>IF('امتیاز دهی خبرگان'!$N45=0,0,IF('امتیاز دهی خبرگان'!$N45=1,'طیف فازی'!$C$2,IF('امتیاز دهی خبرگان'!$N45=2,'طیف فازی'!$C$3,IF('امتیاز دهی خبرگان'!$N45=3,'طیف فازی'!$C$4,IF('امتیاز دهی خبرگان'!$N45=4,'طیف فازی'!$C$5,'طیف فازی'!$C$6)))))</f>
        <v>0.75</v>
      </c>
      <c r="AL45" s="19">
        <f>IF('امتیاز دهی خبرگان'!$N45=0,0,IF('امتیاز دهی خبرگان'!$N45=1,'طیف فازی'!$D$2,IF('امتیاز دهی خبرگان'!$N45=2,'طیف فازی'!$D$3,IF('امتیاز دهی خبرگان'!$N45=3,'طیف فازی'!$D$4,IF('امتیاز دهی خبرگان'!$N45=4,'طیف فازی'!$D$5,'طیف فازی'!$D$6)))))</f>
        <v>1</v>
      </c>
      <c r="AM45" s="23">
        <f t="shared" si="1"/>
        <v>4.25</v>
      </c>
      <c r="AN45" s="23">
        <f t="shared" si="2"/>
        <v>7.25</v>
      </c>
      <c r="AO45" s="24">
        <f t="shared" si="3"/>
        <v>9.75</v>
      </c>
      <c r="AP45" s="25">
        <f t="shared" si="4"/>
        <v>0.35416666666666669</v>
      </c>
      <c r="AQ45" s="23">
        <f t="shared" si="5"/>
        <v>0.60416666666666663</v>
      </c>
      <c r="AR45" s="24">
        <f t="shared" si="6"/>
        <v>0.8125</v>
      </c>
      <c r="AS45" s="24">
        <f t="shared" si="7"/>
        <v>0.59027777777777779</v>
      </c>
      <c r="AT45" s="24" t="str">
        <f t="shared" si="8"/>
        <v>Not Pass</v>
      </c>
    </row>
    <row r="46" spans="2:46" ht="23.25" customHeight="1" thickBot="1" x14ac:dyDescent="0.85">
      <c r="B46" s="2">
        <v>44</v>
      </c>
      <c r="C46" s="17">
        <f>IF('امتیاز دهی خبرگان'!$C46=0,0,IF('امتیاز دهی خبرگان'!$C46=1,'طیف فازی'!$B$2,IF('امتیاز دهی خبرگان'!$C46=2,'طیف فازی'!$B$3,IF('امتیاز دهی خبرگان'!$C46=3,'طیف فازی'!$B$4,IF('امتیاز دهی خبرگان'!$C46=4,'طیف فازی'!$B$5,'طیف فازی'!$B$6)))))</f>
        <v>0.75</v>
      </c>
      <c r="D46" s="18">
        <f>IF('امتیاز دهی خبرگان'!$C46=0,0,IF('امتیاز دهی خبرگان'!$C46=1,'طیف فازی'!$C$2,IF('امتیاز دهی خبرگان'!$C46=2,'طیف فازی'!$C$3,IF('امتیاز دهی خبرگان'!$C46=3,'طیف فازی'!$C$4,IF('امتیاز دهی خبرگان'!$C46=4,'طیف فازی'!$C$5,'طیف فازی'!$C$6)))))</f>
        <v>1</v>
      </c>
      <c r="E46" s="19">
        <f>IF('امتیاز دهی خبرگان'!$C46=0,0,IF('امتیاز دهی خبرگان'!$C46=1,'طیف فازی'!$D$2,IF('امتیاز دهی خبرگان'!$C46=2,'طیف فازی'!$D$3,IF('امتیاز دهی خبرگان'!$C46=3,'طیف فازی'!$D$4,IF('امتیاز دهی خبرگان'!$C46=4,'طیف فازی'!$D$5,'طیف فازی'!$D$6)))))</f>
        <v>1</v>
      </c>
      <c r="F46" s="20">
        <f>IF('امتیاز دهی خبرگان'!$D46=0,0,IF('امتیاز دهی خبرگان'!$D46=1,'طیف فازی'!$B$2,IF('امتیاز دهی خبرگان'!$D46=2,'طیف فازی'!$B$3,IF('امتیاز دهی خبرگان'!$D46=3,'طیف فازی'!$B$4,IF('امتیاز دهی خبرگان'!$D46=4,'طیف فازی'!$B$5,'طیف فازی'!$B$6)))))</f>
        <v>0</v>
      </c>
      <c r="G46" s="21">
        <f>IF('امتیاز دهی خبرگان'!$D46=0,0,IF('امتیاز دهی خبرگان'!$D46=1,'طیف فازی'!$D$2,IF('امتیاز دهی خبرگان'!$D46=2,'طیف فازی'!$C$3,IF('امتیاز دهی خبرگان'!$D46=3,'طیف فازی'!$C$4,IF('امتیاز دهی خبرگان'!$D46=4,'طیف فازی'!$C$5,'طیف فازی'!$C$6)))))</f>
        <v>0.25</v>
      </c>
      <c r="H46" s="22">
        <f>IF('امتیاز دهی خبرگان'!$D46=0,0,IF('امتیاز دهی خبرگان'!$D46=1,'طیف فازی'!$D$2,IF('امتیاز دهی خبرگان'!$D46=2,'طیف فازی'!$D$3,IF('امتیاز دهی خبرگان'!$D46=3,'طیف فازی'!$D$4,IF('امتیاز دهی خبرگان'!$D46=4,'طیف فازی'!$D$5,'طیف فازی'!$D$6)))))</f>
        <v>0.5</v>
      </c>
      <c r="I46" s="17">
        <f>IF('امتیاز دهی خبرگان'!$E46=0,0,IF('امتیاز دهی خبرگان'!$E46=1,'طیف فازی'!$B$2,IF('امتیاز دهی خبرگان'!$E46=2,'طیف فازی'!$B$3,IF('امتیاز دهی خبرگان'!$E46=3,'طیف فازی'!$B$4,IF('امتیاز دهی خبرگان'!$E46=4,'طیف فازی'!$B$5,'طیف فازی'!$B$6)))))</f>
        <v>0.75</v>
      </c>
      <c r="J46" s="18">
        <f>IF('امتیاز دهی خبرگان'!$E46=0,0,IF('امتیاز دهی خبرگان'!$E46=1,'طیف فازی'!$C$2,IF('امتیاز دهی خبرگان'!$E46=2,'طیف فازی'!$C$3,IF('امتیاز دهی خبرگان'!$E46=3,'طیف فازی'!$C$4,IF('امتیاز دهی خبرگان'!$E46=4,'طیف فازی'!$C$5,'طیف فازی'!$C$6)))))</f>
        <v>1</v>
      </c>
      <c r="K46" s="19">
        <f>IF('امتیاز دهی خبرگان'!$E46=0,0,IF('امتیاز دهی خبرگان'!$E46=1,'طیف فازی'!$D$2,IF('امتیاز دهی خبرگان'!$E46=2,'طیف فازی'!$D$3,IF('امتیاز دهی خبرگان'!$E46=3,'طیف فازی'!$D$4,IF('امتیاز دهی خبرگان'!$E46=4,'طیف فازی'!$D$5,'طیف فازی'!$D$6)))))</f>
        <v>1</v>
      </c>
      <c r="L46" s="17">
        <f>IF('امتیاز دهی خبرگان'!$F46=0,0,IF('امتیاز دهی خبرگان'!$F46=1,'طیف فازی'!$B$2,IF('امتیاز دهی خبرگان'!$F46=2,'طیف فازی'!$B$3,IF('امتیاز دهی خبرگان'!$F46=3,'طیف فازی'!$B$4,IF('امتیاز دهی خبرگان'!$F46=4,'طیف فازی'!$B$5,'طیف فازی'!$B$6)))))</f>
        <v>0.75</v>
      </c>
      <c r="M46" s="18">
        <f>IF('امتیاز دهی خبرگان'!$F46=0,0,IF('امتیاز دهی خبرگان'!$F46=1,'طیف فازی'!$C$2,IF('امتیاز دهی خبرگان'!$F46=2,'طیف فازی'!$C$3,IF('امتیاز دهی خبرگان'!$F46=3,'طیف فازی'!$C$4,IF('امتیاز دهی خبرگان'!$F46=4,'طیف فازی'!$C$5,'طیف فازی'!$C$6)))))</f>
        <v>1</v>
      </c>
      <c r="N46" s="19">
        <f>IF('امتیاز دهی خبرگان'!$F46=0,0,IF('امتیاز دهی خبرگان'!$F46=1,'طیف فازی'!$D$2,IF('امتیاز دهی خبرگان'!$F46=2,'طیف فازی'!$D$3,IF('امتیاز دهی خبرگان'!$F46=3,'طیف فازی'!$D$4,IF('امتیاز دهی خبرگان'!$F46=4,'طیف فازی'!$D$5,'طیف فازی'!$D$6)))))</f>
        <v>1</v>
      </c>
      <c r="O46" s="17">
        <f>IF('امتیاز دهی خبرگان'!$G46=0,0,IF('امتیاز دهی خبرگان'!$G46=1,'طیف فازی'!$B$2,IF('امتیاز دهی خبرگان'!$G46=2,'طیف فازی'!$B$3,IF('امتیاز دهی خبرگان'!$G46=3,'طیف فازی'!$B$4,IF('امتیاز دهی خبرگان'!$G46=4,'طیف فازی'!$B$5,'طیف فازی'!$B$6)))))</f>
        <v>0.5</v>
      </c>
      <c r="P46" s="18">
        <f>IF('امتیاز دهی خبرگان'!$G46=0,0,IF('امتیاز دهی خبرگان'!$G46=1,'طیف فازی'!$C$2,IF('امتیاز دهی خبرگان'!$G46=2,'طیف فازی'!$C$3,IF('امتیاز دهی خبرگان'!$G46=3,'طیف فازی'!$C$4,IF('امتیاز دهی خبرگان'!$G46=4,'طیف فازی'!$C$5,'طیف فازی'!$C$6)))))</f>
        <v>0.75</v>
      </c>
      <c r="Q46" s="19">
        <f>IF('امتیاز دهی خبرگان'!$G46=0,0,IF('امتیاز دهی خبرگان'!$G46=1,'طیف فازی'!$D$2,IF('امتیاز دهی خبرگان'!$G46=2,'طیف فازی'!$D$3,IF('امتیاز دهی خبرگان'!$G46=3,'طیف فازی'!$D$4,IF('امتیاز دهی خبرگان'!$G46=4,'طیف فازی'!$D$5,'طیف فازی'!$D$6)))))</f>
        <v>1</v>
      </c>
      <c r="R46" s="17">
        <f>IF('امتیاز دهی خبرگان'!$H46=0,0,IF('امتیاز دهی خبرگان'!$H46=1,'طیف فازی'!$B$2,IF('امتیاز دهی خبرگان'!$H46=2,'طیف فازی'!$B$3,IF('امتیاز دهی خبرگان'!$H46=3,'طیف فازی'!$B$4,IF('امتیاز دهی خبرگان'!$H46=4,'طیف فازی'!$B$5,'طیف فازی'!$B$6)))))</f>
        <v>0.5</v>
      </c>
      <c r="S46" s="18">
        <f>IF('امتیاز دهی خبرگان'!$H46=0,0,IF('امتیاز دهی خبرگان'!$H46=1,'طیف فازی'!$C$2,IF('امتیاز دهی خبرگان'!$H46=2,'طیف فازی'!$C$3,IF('امتیاز دهی خبرگان'!$H46=3,'طیف فازی'!$C$4,IF('امتیاز دهی خبرگان'!$H46=4,'طیف فازی'!$C$5,'طیف فازی'!$C$6)))))</f>
        <v>0.75</v>
      </c>
      <c r="T46" s="19">
        <f>IF('امتیاز دهی خبرگان'!$H46=0,0,IF('امتیاز دهی خبرگان'!$H46=1,'طیف فازی'!$D$2,IF('امتیاز دهی خبرگان'!$H46=2,'طیف فازی'!$D$3,IF('امتیاز دهی خبرگان'!$H46=3,'طیف فازی'!$D$4,IF('امتیاز دهی خبرگان'!$H46=4,'طیف فازی'!$D$5,'طیف فازی'!$D$6)))))</f>
        <v>1</v>
      </c>
      <c r="U46" s="17">
        <f>IF('امتیاز دهی خبرگان'!$I46=0,0,IF('امتیاز دهی خبرگان'!$I46=1,'طیف فازی'!$B$2,IF('امتیاز دهی خبرگان'!$I46=2,'طیف فازی'!$B$3,IF('امتیاز دهی خبرگان'!$I46=3,'طیف فازی'!$B$4,IF('امتیاز دهی خبرگان'!$I46=4,'طیف فازی'!$B$5,'طیف فازی'!$B$6)))))</f>
        <v>0.75</v>
      </c>
      <c r="V46" s="18">
        <f>IF('امتیاز دهی خبرگان'!$I46=0,0,IF('امتیاز دهی خبرگان'!$I46=1,'طیف فازی'!$C$2,IF('امتیاز دهی خبرگان'!$I46=2,'طیف فازی'!$C$3,IF('امتیاز دهی خبرگان'!$I46=3,'طیف فازی'!$C$4,IF('امتیاز دهی خبرگان'!$I46=4,'طیف فازی'!$C$5,'طیف فازی'!$C$6)))))</f>
        <v>1</v>
      </c>
      <c r="W46" s="19">
        <f>IF('امتیاز دهی خبرگان'!$I46=0,0,IF('امتیاز دهی خبرگان'!$I46=1,'طیف فازی'!$D$2,IF('امتیاز دهی خبرگان'!$I46=2,'طیف فازی'!$D$3,IF('امتیاز دهی خبرگان'!$I46=3,'طیف فازی'!$D$4,IF('امتیاز دهی خبرگان'!$I46=4,'طیف فازی'!$D$5,'طیف فازی'!$D$6)))))</f>
        <v>1</v>
      </c>
      <c r="X46" s="17">
        <f>IF('امتیاز دهی خبرگان'!$J46=0,0,IF('امتیاز دهی خبرگان'!$J46=1,'طیف فازی'!$B$2,IF('امتیاز دهی خبرگان'!$J46=2,'طیف فازی'!$B$3,IF('امتیاز دهی خبرگان'!$J46=3,'طیف فازی'!$B$4,IF('امتیاز دهی خبرگان'!$J46=4,'طیف فازی'!$B$5,'طیف فازی'!$B$6)))))</f>
        <v>0.5</v>
      </c>
      <c r="Y46" s="18">
        <f>IF('امتیاز دهی خبرگان'!$J46=0,0,IF('امتیاز دهی خبرگان'!$J46=1,'طیف فازی'!$C$2,IF('امتیاز دهی خبرگان'!$J46=2,'طیف فازی'!$C$3,IF('امتیاز دهی خبرگان'!$J46=3,'طیف فازی'!$C$4,IF('امتیاز دهی خبرگان'!$J46=4,'طیف فازی'!$C$5,'طیف فازی'!$C$6)))))</f>
        <v>0.75</v>
      </c>
      <c r="Z46" s="19">
        <f>IF('امتیاز دهی خبرگان'!$J46=0,0,IF('امتیاز دهی خبرگان'!$J46=1,'طیف فازی'!$D$2,IF('امتیاز دهی خبرگان'!$J46=2,'طیف فازی'!$D$3,IF('امتیاز دهی خبرگان'!$J46=3,'طیف فازی'!$D$4,IF('امتیاز دهی خبرگان'!$J46=4,'طیف فازی'!$D$5,'طیف فازی'!$D$6)))))</f>
        <v>1</v>
      </c>
      <c r="AA46" s="17">
        <f>IF('امتیاز دهی خبرگان'!$K46=0,0,IF('امتیاز دهی خبرگان'!$K46=1,'طیف فازی'!$B$2,IF('امتیاز دهی خبرگان'!$K46=2,'طیف فازی'!$B$3,IF('امتیاز دهی خبرگان'!$K46=3,'طیف فازی'!$B$4,IF('امتیاز دهی خبرگان'!$K46=4,'طیف فازی'!$B$5,'طیف فازی'!$B$6)))))</f>
        <v>0.5</v>
      </c>
      <c r="AB46" s="18">
        <f>IF('امتیاز دهی خبرگان'!$K46=0,0,IF('امتیاز دهی خبرگان'!$K46=1,'طیف فازی'!$C$2,IF('امتیاز دهی خبرگان'!$K46=2,'طیف فازی'!$C$3,IF('امتیاز دهی خبرگان'!$K46=3,'طیف فازی'!$C$4,IF('امتیاز دهی خبرگان'!$K46=4,'طیف فازی'!$C$5,'طیف فازی'!$C$6)))))</f>
        <v>0.75</v>
      </c>
      <c r="AC46" s="19">
        <f>IF('امتیاز دهی خبرگان'!$K46=0,0,IF('امتیاز دهی خبرگان'!$K46=1,'طیف فازی'!$D$2,IF('امتیاز دهی خبرگان'!$K46=2,'طیف فازی'!$D$3,IF('امتیاز دهی خبرگان'!$K46=3,'طیف فازی'!$D$4,IF('امتیاز دهی خبرگان'!$K46=4,'طیف فازی'!$D$5,'طیف فازی'!$D$6)))))</f>
        <v>1</v>
      </c>
      <c r="AD46" s="17">
        <f>IF('امتیاز دهی خبرگان'!$L46=0,0,IF('امتیاز دهی خبرگان'!$L46=1,'طیف فازی'!$B$2,IF('امتیاز دهی خبرگان'!$L46=2,'طیف فازی'!$B$3,IF('امتیاز دهی خبرگان'!$L46=3,'طیف فازی'!$B$4,IF('امتیاز دهی خبرگان'!$L46=4,'طیف فازی'!$B$5,'طیف فازی'!$B$6)))))</f>
        <v>0.5</v>
      </c>
      <c r="AE46" s="18">
        <f>IF('امتیاز دهی خبرگان'!$L46=0,0,IF('امتیاز دهی خبرگان'!$L46=1,'طیف فازی'!$C$2,IF('امتیاز دهی خبرگان'!$L46=2,'طیف فازی'!$C$3,IF('امتیاز دهی خبرگان'!$L46=3,'طیف فازی'!$C$4,IF('امتیاز دهی خبرگان'!$L46=4,'طیف فازی'!$C$5,'طیف فازی'!$C$6)))))</f>
        <v>0.75</v>
      </c>
      <c r="AF46" s="19">
        <f>IF('امتیاز دهی خبرگان'!$L46=0,0,IF('امتیاز دهی خبرگان'!$L46=1,'طیف فازی'!$D$2,IF('امتیاز دهی خبرگان'!$L46=2,'طیف فازی'!$D$3,IF('امتیاز دهی خبرگان'!$L46=3,'طیف فازی'!$D$4,IF('امتیاز دهی خبرگان'!$L46=4,'طیف فازی'!$D$5,'طیف فازی'!$D$6)))))</f>
        <v>1</v>
      </c>
      <c r="AG46" s="17">
        <f>IF('امتیاز دهی خبرگان'!$M46=0,0,IF('امتیاز دهی خبرگان'!$M46=1,'طیف فازی'!$B$2,IF('امتیاز دهی خبرگان'!$M46=2,'طیف فازی'!$B$3,IF('امتیاز دهی خبرگان'!$M46=3,'طیف فازی'!$B$4,IF('امتیاز دهی خبرگان'!$M46=4,'طیف فازی'!$B$5,'طیف فازی'!$B$6)))))</f>
        <v>0.25</v>
      </c>
      <c r="AH46" s="18">
        <f>IF('امتیاز دهی خبرگان'!$M46=0,0,IF('امتیاز دهی خبرگان'!$M46=1,'طیف فازی'!$C$2,IF('امتیاز دهی خبرگان'!$M46=2,'طیف فازی'!$C$3,IF('امتیاز دهی خبرگان'!$M46=3,'طیف فازی'!$C$4,IF('امتیاز دهی خبرگان'!$M46=4,'طیف فازی'!$C$5,'طیف فازی'!$C$6)))))</f>
        <v>0.5</v>
      </c>
      <c r="AI46" s="19">
        <f>IF('امتیاز دهی خبرگان'!$M46=0,0,IF('امتیاز دهی خبرگان'!$M46=1,'طیف فازی'!$D$2,IF('امتیاز دهی خبرگان'!$M46=2,'طیف فازی'!$D$3,IF('امتیاز دهی خبرگان'!$M46=3,'طیف فازی'!$D$4,IF('امتیاز دهی خبرگان'!$M46=4,'طیف فازی'!$D$5,'طیف فازی'!$D$6)))))</f>
        <v>0.75</v>
      </c>
      <c r="AJ46" s="17">
        <f>IF('امتیاز دهی خبرگان'!$N46=0,0,IF('امتیاز دهی خبرگان'!$N46=1,'طیف فازی'!$B$2,IF('امتیاز دهی خبرگان'!$N46=2,'طیف فازی'!$B$3,IF('امتیاز دهی خبرگان'!$N46=3,'طیف فازی'!$B$4,IF('امتیاز دهی خبرگان'!$N46=4,'طیف فازی'!$B$5,'طیف فازی'!$B$6)))))</f>
        <v>0.5</v>
      </c>
      <c r="AK46" s="18">
        <f>IF('امتیاز دهی خبرگان'!$N46=0,0,IF('امتیاز دهی خبرگان'!$N46=1,'طیف فازی'!$C$2,IF('امتیاز دهی خبرگان'!$N46=2,'طیف فازی'!$C$3,IF('امتیاز دهی خبرگان'!$N46=3,'طیف فازی'!$C$4,IF('امتیاز دهی خبرگان'!$N46=4,'طیف فازی'!$C$5,'طیف فازی'!$C$6)))))</f>
        <v>0.75</v>
      </c>
      <c r="AL46" s="19">
        <f>IF('امتیاز دهی خبرگان'!$N46=0,0,IF('امتیاز دهی خبرگان'!$N46=1,'طیف فازی'!$D$2,IF('امتیاز دهی خبرگان'!$N46=2,'طیف فازی'!$D$3,IF('امتیاز دهی خبرگان'!$N46=3,'طیف فازی'!$D$4,IF('امتیاز دهی خبرگان'!$N46=4,'طیف فازی'!$D$5,'طیف فازی'!$D$6)))))</f>
        <v>1</v>
      </c>
      <c r="AM46" s="23">
        <f t="shared" si="1"/>
        <v>6.25</v>
      </c>
      <c r="AN46" s="23">
        <f t="shared" si="2"/>
        <v>9.25</v>
      </c>
      <c r="AO46" s="24">
        <f t="shared" si="3"/>
        <v>11.25</v>
      </c>
      <c r="AP46" s="25">
        <f t="shared" si="4"/>
        <v>0.52083333333333337</v>
      </c>
      <c r="AQ46" s="23">
        <f t="shared" si="5"/>
        <v>0.77083333333333337</v>
      </c>
      <c r="AR46" s="24">
        <f t="shared" si="6"/>
        <v>0.9375</v>
      </c>
      <c r="AS46" s="24">
        <f t="shared" si="7"/>
        <v>0.74305555555555569</v>
      </c>
      <c r="AT46" s="24" t="str">
        <f t="shared" si="8"/>
        <v>Pass</v>
      </c>
    </row>
    <row r="47" spans="2:46" ht="23.25" customHeight="1" thickBot="1" x14ac:dyDescent="0.85">
      <c r="B47" s="2">
        <v>45</v>
      </c>
      <c r="C47" s="17">
        <f>IF('امتیاز دهی خبرگان'!$C47=0,0,IF('امتیاز دهی خبرگان'!$C47=1,'طیف فازی'!$B$2,IF('امتیاز دهی خبرگان'!$C47=2,'طیف فازی'!$B$3,IF('امتیاز دهی خبرگان'!$C47=3,'طیف فازی'!$B$4,IF('امتیاز دهی خبرگان'!$C47=4,'طیف فازی'!$B$5,'طیف فازی'!$B$6)))))</f>
        <v>0.75</v>
      </c>
      <c r="D47" s="18">
        <f>IF('امتیاز دهی خبرگان'!$C47=0,0,IF('امتیاز دهی خبرگان'!$C47=1,'طیف فازی'!$C$2,IF('امتیاز دهی خبرگان'!$C47=2,'طیف فازی'!$C$3,IF('امتیاز دهی خبرگان'!$C47=3,'طیف فازی'!$C$4,IF('امتیاز دهی خبرگان'!$C47=4,'طیف فازی'!$C$5,'طیف فازی'!$C$6)))))</f>
        <v>1</v>
      </c>
      <c r="E47" s="19">
        <f>IF('امتیاز دهی خبرگان'!$C47=0,0,IF('امتیاز دهی خبرگان'!$C47=1,'طیف فازی'!$D$2,IF('امتیاز دهی خبرگان'!$C47=2,'طیف فازی'!$D$3,IF('امتیاز دهی خبرگان'!$C47=3,'طیف فازی'!$D$4,IF('امتیاز دهی خبرگان'!$C47=4,'طیف فازی'!$D$5,'طیف فازی'!$D$6)))))</f>
        <v>1</v>
      </c>
      <c r="F47" s="20">
        <f>IF('امتیاز دهی خبرگان'!$D47=0,0,IF('امتیاز دهی خبرگان'!$D47=1,'طیف فازی'!$B$2,IF('امتیاز دهی خبرگان'!$D47=2,'طیف فازی'!$B$3,IF('امتیاز دهی خبرگان'!$D47=3,'طیف فازی'!$B$4,IF('امتیاز دهی خبرگان'!$D47=4,'طیف فازی'!$B$5,'طیف فازی'!$B$6)))))</f>
        <v>0.25</v>
      </c>
      <c r="G47" s="21">
        <f>IF('امتیاز دهی خبرگان'!$D47=0,0,IF('امتیاز دهی خبرگان'!$D47=1,'طیف فازی'!$D$2,IF('امتیاز دهی خبرگان'!$D47=2,'طیف فازی'!$C$3,IF('امتیاز دهی خبرگان'!$D47=3,'طیف فازی'!$C$4,IF('امتیاز دهی خبرگان'!$D47=4,'طیف فازی'!$C$5,'طیف فازی'!$C$6)))))</f>
        <v>0.5</v>
      </c>
      <c r="H47" s="22">
        <f>IF('امتیاز دهی خبرگان'!$D47=0,0,IF('امتیاز دهی خبرگان'!$D47=1,'طیف فازی'!$D$2,IF('امتیاز دهی خبرگان'!$D47=2,'طیف فازی'!$D$3,IF('امتیاز دهی خبرگان'!$D47=3,'طیف فازی'!$D$4,IF('امتیاز دهی خبرگان'!$D47=4,'طیف فازی'!$D$5,'طیف فازی'!$D$6)))))</f>
        <v>0.75</v>
      </c>
      <c r="I47" s="17">
        <f>IF('امتیاز دهی خبرگان'!$E47=0,0,IF('امتیاز دهی خبرگان'!$E47=1,'طیف فازی'!$B$2,IF('امتیاز دهی خبرگان'!$E47=2,'طیف فازی'!$B$3,IF('امتیاز دهی خبرگان'!$E47=3,'طیف فازی'!$B$4,IF('امتیاز دهی خبرگان'!$E47=4,'طیف فازی'!$B$5,'طیف فازی'!$B$6)))))</f>
        <v>0</v>
      </c>
      <c r="J47" s="18">
        <f>IF('امتیاز دهی خبرگان'!$E47=0,0,IF('امتیاز دهی خبرگان'!$E47=1,'طیف فازی'!$C$2,IF('امتیاز دهی خبرگان'!$E47=2,'طیف فازی'!$C$3,IF('امتیاز دهی خبرگان'!$E47=3,'طیف فازی'!$C$4,IF('امتیاز دهی خبرگان'!$E47=4,'طیف فازی'!$C$5,'طیف فازی'!$C$6)))))</f>
        <v>0</v>
      </c>
      <c r="K47" s="19">
        <f>IF('امتیاز دهی خبرگان'!$E47=0,0,IF('امتیاز دهی خبرگان'!$E47=1,'طیف فازی'!$D$2,IF('امتیاز دهی خبرگان'!$E47=2,'طیف فازی'!$D$3,IF('امتیاز دهی خبرگان'!$E47=3,'طیف فازی'!$D$4,IF('امتیاز دهی خبرگان'!$E47=4,'طیف فازی'!$D$5,'طیف فازی'!$D$6)))))</f>
        <v>0.25</v>
      </c>
      <c r="L47" s="17">
        <f>IF('امتیاز دهی خبرگان'!$F47=0,0,IF('امتیاز دهی خبرگان'!$F47=1,'طیف فازی'!$B$2,IF('امتیاز دهی خبرگان'!$F47=2,'طیف فازی'!$B$3,IF('امتیاز دهی خبرگان'!$F47=3,'طیف فازی'!$B$4,IF('امتیاز دهی خبرگان'!$F47=4,'طیف فازی'!$B$5,'طیف فازی'!$B$6)))))</f>
        <v>0.5</v>
      </c>
      <c r="M47" s="18">
        <f>IF('امتیاز دهی خبرگان'!$F47=0,0,IF('امتیاز دهی خبرگان'!$F47=1,'طیف فازی'!$C$2,IF('امتیاز دهی خبرگان'!$F47=2,'طیف فازی'!$C$3,IF('امتیاز دهی خبرگان'!$F47=3,'طیف فازی'!$C$4,IF('امتیاز دهی خبرگان'!$F47=4,'طیف فازی'!$C$5,'طیف فازی'!$C$6)))))</f>
        <v>0.75</v>
      </c>
      <c r="N47" s="19">
        <f>IF('امتیاز دهی خبرگان'!$F47=0,0,IF('امتیاز دهی خبرگان'!$F47=1,'طیف فازی'!$D$2,IF('امتیاز دهی خبرگان'!$F47=2,'طیف فازی'!$D$3,IF('امتیاز دهی خبرگان'!$F47=3,'طیف فازی'!$D$4,IF('امتیاز دهی خبرگان'!$F47=4,'طیف فازی'!$D$5,'طیف فازی'!$D$6)))))</f>
        <v>1</v>
      </c>
      <c r="O47" s="17">
        <f>IF('امتیاز دهی خبرگان'!$G47=0,0,IF('امتیاز دهی خبرگان'!$G47=1,'طیف فازی'!$B$2,IF('امتیاز دهی خبرگان'!$G47=2,'طیف فازی'!$B$3,IF('امتیاز دهی خبرگان'!$G47=3,'طیف فازی'!$B$4,IF('امتیاز دهی خبرگان'!$G47=4,'طیف فازی'!$B$5,'طیف فازی'!$B$6)))))</f>
        <v>0.5</v>
      </c>
      <c r="P47" s="18">
        <f>IF('امتیاز دهی خبرگان'!$G47=0,0,IF('امتیاز دهی خبرگان'!$G47=1,'طیف فازی'!$C$2,IF('امتیاز دهی خبرگان'!$G47=2,'طیف فازی'!$C$3,IF('امتیاز دهی خبرگان'!$G47=3,'طیف فازی'!$C$4,IF('امتیاز دهی خبرگان'!$G47=4,'طیف فازی'!$C$5,'طیف فازی'!$C$6)))))</f>
        <v>0.75</v>
      </c>
      <c r="Q47" s="19">
        <f>IF('امتیاز دهی خبرگان'!$G47=0,0,IF('امتیاز دهی خبرگان'!$G47=1,'طیف فازی'!$D$2,IF('امتیاز دهی خبرگان'!$G47=2,'طیف فازی'!$D$3,IF('امتیاز دهی خبرگان'!$G47=3,'طیف فازی'!$D$4,IF('امتیاز دهی خبرگان'!$G47=4,'طیف فازی'!$D$5,'طیف فازی'!$D$6)))))</f>
        <v>1</v>
      </c>
      <c r="R47" s="17">
        <f>IF('امتیاز دهی خبرگان'!$H47=0,0,IF('امتیاز دهی خبرگان'!$H47=1,'طیف فازی'!$B$2,IF('امتیاز دهی خبرگان'!$H47=2,'طیف فازی'!$B$3,IF('امتیاز دهی خبرگان'!$H47=3,'طیف فازی'!$B$4,IF('امتیاز دهی خبرگان'!$H47=4,'طیف فازی'!$B$5,'طیف فازی'!$B$6)))))</f>
        <v>0.25</v>
      </c>
      <c r="S47" s="18">
        <f>IF('امتیاز دهی خبرگان'!$H47=0,0,IF('امتیاز دهی خبرگان'!$H47=1,'طیف فازی'!$C$2,IF('امتیاز دهی خبرگان'!$H47=2,'طیف فازی'!$C$3,IF('امتیاز دهی خبرگان'!$H47=3,'طیف فازی'!$C$4,IF('امتیاز دهی خبرگان'!$H47=4,'طیف فازی'!$C$5,'طیف فازی'!$C$6)))))</f>
        <v>0.5</v>
      </c>
      <c r="T47" s="19">
        <f>IF('امتیاز دهی خبرگان'!$H47=0,0,IF('امتیاز دهی خبرگان'!$H47=1,'طیف فازی'!$D$2,IF('امتیاز دهی خبرگان'!$H47=2,'طیف فازی'!$D$3,IF('امتیاز دهی خبرگان'!$H47=3,'طیف فازی'!$D$4,IF('امتیاز دهی خبرگان'!$H47=4,'طیف فازی'!$D$5,'طیف فازی'!$D$6)))))</f>
        <v>0.75</v>
      </c>
      <c r="U47" s="17">
        <f>IF('امتیاز دهی خبرگان'!$I47=0,0,IF('امتیاز دهی خبرگان'!$I47=1,'طیف فازی'!$B$2,IF('امتیاز دهی خبرگان'!$I47=2,'طیف فازی'!$B$3,IF('امتیاز دهی خبرگان'!$I47=3,'طیف فازی'!$B$4,IF('امتیاز دهی خبرگان'!$I47=4,'طیف فازی'!$B$5,'طیف فازی'!$B$6)))))</f>
        <v>0.75</v>
      </c>
      <c r="V47" s="18">
        <f>IF('امتیاز دهی خبرگان'!$I47=0,0,IF('امتیاز دهی خبرگان'!$I47=1,'طیف فازی'!$C$2,IF('امتیاز دهی خبرگان'!$I47=2,'طیف فازی'!$C$3,IF('امتیاز دهی خبرگان'!$I47=3,'طیف فازی'!$C$4,IF('امتیاز دهی خبرگان'!$I47=4,'طیف فازی'!$C$5,'طیف فازی'!$C$6)))))</f>
        <v>1</v>
      </c>
      <c r="W47" s="19">
        <f>IF('امتیاز دهی خبرگان'!$I47=0,0,IF('امتیاز دهی خبرگان'!$I47=1,'طیف فازی'!$D$2,IF('امتیاز دهی خبرگان'!$I47=2,'طیف فازی'!$D$3,IF('امتیاز دهی خبرگان'!$I47=3,'طیف فازی'!$D$4,IF('امتیاز دهی خبرگان'!$I47=4,'طیف فازی'!$D$5,'طیف فازی'!$D$6)))))</f>
        <v>1</v>
      </c>
      <c r="X47" s="17">
        <f>IF('امتیاز دهی خبرگان'!$J47=0,0,IF('امتیاز دهی خبرگان'!$J47=1,'طیف فازی'!$B$2,IF('امتیاز دهی خبرگان'!$J47=2,'طیف فازی'!$B$3,IF('امتیاز دهی خبرگان'!$J47=3,'طیف فازی'!$B$4,IF('امتیاز دهی خبرگان'!$J47=4,'طیف فازی'!$B$5,'طیف فازی'!$B$6)))))</f>
        <v>0.75</v>
      </c>
      <c r="Y47" s="18">
        <f>IF('امتیاز دهی خبرگان'!$J47=0,0,IF('امتیاز دهی خبرگان'!$J47=1,'طیف فازی'!$C$2,IF('امتیاز دهی خبرگان'!$J47=2,'طیف فازی'!$C$3,IF('امتیاز دهی خبرگان'!$J47=3,'طیف فازی'!$C$4,IF('امتیاز دهی خبرگان'!$J47=4,'طیف فازی'!$C$5,'طیف فازی'!$C$6)))))</f>
        <v>1</v>
      </c>
      <c r="Z47" s="19">
        <f>IF('امتیاز دهی خبرگان'!$J47=0,0,IF('امتیاز دهی خبرگان'!$J47=1,'طیف فازی'!$D$2,IF('امتیاز دهی خبرگان'!$J47=2,'طیف فازی'!$D$3,IF('امتیاز دهی خبرگان'!$J47=3,'طیف فازی'!$D$4,IF('امتیاز دهی خبرگان'!$J47=4,'طیف فازی'!$D$5,'طیف فازی'!$D$6)))))</f>
        <v>1</v>
      </c>
      <c r="AA47" s="17">
        <f>IF('امتیاز دهی خبرگان'!$K47=0,0,IF('امتیاز دهی خبرگان'!$K47=1,'طیف فازی'!$B$2,IF('امتیاز دهی خبرگان'!$K47=2,'طیف فازی'!$B$3,IF('امتیاز دهی خبرگان'!$K47=3,'طیف فازی'!$B$4,IF('امتیاز دهی خبرگان'!$K47=4,'طیف فازی'!$B$5,'طیف فازی'!$B$6)))))</f>
        <v>0.75</v>
      </c>
      <c r="AB47" s="18">
        <f>IF('امتیاز دهی خبرگان'!$K47=0,0,IF('امتیاز دهی خبرگان'!$K47=1,'طیف فازی'!$C$2,IF('امتیاز دهی خبرگان'!$K47=2,'طیف فازی'!$C$3,IF('امتیاز دهی خبرگان'!$K47=3,'طیف فازی'!$C$4,IF('امتیاز دهی خبرگان'!$K47=4,'طیف فازی'!$C$5,'طیف فازی'!$C$6)))))</f>
        <v>1</v>
      </c>
      <c r="AC47" s="19">
        <f>IF('امتیاز دهی خبرگان'!$K47=0,0,IF('امتیاز دهی خبرگان'!$K47=1,'طیف فازی'!$D$2,IF('امتیاز دهی خبرگان'!$K47=2,'طیف فازی'!$D$3,IF('امتیاز دهی خبرگان'!$K47=3,'طیف فازی'!$D$4,IF('امتیاز دهی خبرگان'!$K47=4,'طیف فازی'!$D$5,'طیف فازی'!$D$6)))))</f>
        <v>1</v>
      </c>
      <c r="AD47" s="17">
        <f>IF('امتیاز دهی خبرگان'!$L47=0,0,IF('امتیاز دهی خبرگان'!$L47=1,'طیف فازی'!$B$2,IF('امتیاز دهی خبرگان'!$L47=2,'طیف فازی'!$B$3,IF('امتیاز دهی خبرگان'!$L47=3,'طیف فازی'!$B$4,IF('امتیاز دهی خبرگان'!$L47=4,'طیف فازی'!$B$5,'طیف فازی'!$B$6)))))</f>
        <v>0.75</v>
      </c>
      <c r="AE47" s="18">
        <f>IF('امتیاز دهی خبرگان'!$L47=0,0,IF('امتیاز دهی خبرگان'!$L47=1,'طیف فازی'!$C$2,IF('امتیاز دهی خبرگان'!$L47=2,'طیف فازی'!$C$3,IF('امتیاز دهی خبرگان'!$L47=3,'طیف فازی'!$C$4,IF('امتیاز دهی خبرگان'!$L47=4,'طیف فازی'!$C$5,'طیف فازی'!$C$6)))))</f>
        <v>1</v>
      </c>
      <c r="AF47" s="19">
        <f>IF('امتیاز دهی خبرگان'!$L47=0,0,IF('امتیاز دهی خبرگان'!$L47=1,'طیف فازی'!$D$2,IF('امتیاز دهی خبرگان'!$L47=2,'طیف فازی'!$D$3,IF('امتیاز دهی خبرگان'!$L47=3,'طیف فازی'!$D$4,IF('امتیاز دهی خبرگان'!$L47=4,'طیف فازی'!$D$5,'طیف فازی'!$D$6)))))</f>
        <v>1</v>
      </c>
      <c r="AG47" s="17">
        <f>IF('امتیاز دهی خبرگان'!$M47=0,0,IF('امتیاز دهی خبرگان'!$M47=1,'طیف فازی'!$B$2,IF('امتیاز دهی خبرگان'!$M47=2,'طیف فازی'!$B$3,IF('امتیاز دهی خبرگان'!$M47=3,'طیف فازی'!$B$4,IF('امتیاز دهی خبرگان'!$M47=4,'طیف فازی'!$B$5,'طیف فازی'!$B$6)))))</f>
        <v>0.75</v>
      </c>
      <c r="AH47" s="18">
        <f>IF('امتیاز دهی خبرگان'!$M47=0,0,IF('امتیاز دهی خبرگان'!$M47=1,'طیف فازی'!$C$2,IF('امتیاز دهی خبرگان'!$M47=2,'طیف فازی'!$C$3,IF('امتیاز دهی خبرگان'!$M47=3,'طیف فازی'!$C$4,IF('امتیاز دهی خبرگان'!$M47=4,'طیف فازی'!$C$5,'طیف فازی'!$C$6)))))</f>
        <v>1</v>
      </c>
      <c r="AI47" s="19">
        <f>IF('امتیاز دهی خبرگان'!$M47=0,0,IF('امتیاز دهی خبرگان'!$M47=1,'طیف فازی'!$D$2,IF('امتیاز دهی خبرگان'!$M47=2,'طیف فازی'!$D$3,IF('امتیاز دهی خبرگان'!$M47=3,'طیف فازی'!$D$4,IF('امتیاز دهی خبرگان'!$M47=4,'طیف فازی'!$D$5,'طیف فازی'!$D$6)))))</f>
        <v>1</v>
      </c>
      <c r="AJ47" s="17">
        <f>IF('امتیاز دهی خبرگان'!$N47=0,0,IF('امتیاز دهی خبرگان'!$N47=1,'طیف فازی'!$B$2,IF('امتیاز دهی خبرگان'!$N47=2,'طیف فازی'!$B$3,IF('امتیاز دهی خبرگان'!$N47=3,'طیف فازی'!$B$4,IF('امتیاز دهی خبرگان'!$N47=4,'طیف فازی'!$B$5,'طیف فازی'!$B$6)))))</f>
        <v>0.75</v>
      </c>
      <c r="AK47" s="18">
        <f>IF('امتیاز دهی خبرگان'!$N47=0,0,IF('امتیاز دهی خبرگان'!$N47=1,'طیف فازی'!$C$2,IF('امتیاز دهی خبرگان'!$N47=2,'طیف فازی'!$C$3,IF('امتیاز دهی خبرگان'!$N47=3,'طیف فازی'!$C$4,IF('امتیاز دهی خبرگان'!$N47=4,'طیف فازی'!$C$5,'طیف فازی'!$C$6)))))</f>
        <v>1</v>
      </c>
      <c r="AL47" s="19">
        <f>IF('امتیاز دهی خبرگان'!$N47=0,0,IF('امتیاز دهی خبرگان'!$N47=1,'طیف فازی'!$D$2,IF('امتیاز دهی خبرگان'!$N47=2,'طیف فازی'!$D$3,IF('امتیاز دهی خبرگان'!$N47=3,'طیف فازی'!$D$4,IF('امتیاز دهی خبرگان'!$N47=4,'طیف فازی'!$D$5,'طیف فازی'!$D$6)))))</f>
        <v>1</v>
      </c>
      <c r="AM47" s="23">
        <f t="shared" si="1"/>
        <v>6.75</v>
      </c>
      <c r="AN47" s="23">
        <f t="shared" si="2"/>
        <v>9.5</v>
      </c>
      <c r="AO47" s="24">
        <f t="shared" si="3"/>
        <v>10.75</v>
      </c>
      <c r="AP47" s="25">
        <f t="shared" si="4"/>
        <v>0.5625</v>
      </c>
      <c r="AQ47" s="23">
        <f t="shared" si="5"/>
        <v>0.79166666666666663</v>
      </c>
      <c r="AR47" s="24">
        <f t="shared" si="6"/>
        <v>0.89583333333333337</v>
      </c>
      <c r="AS47" s="24">
        <f t="shared" si="7"/>
        <v>0.75</v>
      </c>
      <c r="AT47" s="24" t="str">
        <f t="shared" si="8"/>
        <v>Pass</v>
      </c>
    </row>
    <row r="48" spans="2:46" ht="23.25" customHeight="1" thickBot="1" x14ac:dyDescent="0.85">
      <c r="B48" s="2">
        <v>46</v>
      </c>
      <c r="C48" s="17">
        <f>IF('امتیاز دهی خبرگان'!$C48=0,0,IF('امتیاز دهی خبرگان'!$C48=1,'طیف فازی'!$B$2,IF('امتیاز دهی خبرگان'!$C48=2,'طیف فازی'!$B$3,IF('امتیاز دهی خبرگان'!$C48=3,'طیف فازی'!$B$4,IF('امتیاز دهی خبرگان'!$C48=4,'طیف فازی'!$B$5,'طیف فازی'!$B$6)))))</f>
        <v>0.75</v>
      </c>
      <c r="D48" s="18">
        <f>IF('امتیاز دهی خبرگان'!$C48=0,0,IF('امتیاز دهی خبرگان'!$C48=1,'طیف فازی'!$C$2,IF('امتیاز دهی خبرگان'!$C48=2,'طیف فازی'!$C$3,IF('امتیاز دهی خبرگان'!$C48=3,'طیف فازی'!$C$4,IF('امتیاز دهی خبرگان'!$C48=4,'طیف فازی'!$C$5,'طیف فازی'!$C$6)))))</f>
        <v>1</v>
      </c>
      <c r="E48" s="19">
        <f>IF('امتیاز دهی خبرگان'!$C48=0,0,IF('امتیاز دهی خبرگان'!$C48=1,'طیف فازی'!$D$2,IF('امتیاز دهی خبرگان'!$C48=2,'طیف فازی'!$D$3,IF('امتیاز دهی خبرگان'!$C48=3,'طیف فازی'!$D$4,IF('امتیاز دهی خبرگان'!$C48=4,'طیف فازی'!$D$5,'طیف فازی'!$D$6)))))</f>
        <v>1</v>
      </c>
      <c r="F48" s="20">
        <f>IF('امتیاز دهی خبرگان'!$D48=0,0,IF('امتیاز دهی خبرگان'!$D48=1,'طیف فازی'!$B$2,IF('امتیاز دهی خبرگان'!$D48=2,'طیف فازی'!$B$3,IF('امتیاز دهی خبرگان'!$D48=3,'طیف فازی'!$B$4,IF('امتیاز دهی خبرگان'!$D48=4,'طیف فازی'!$B$5,'طیف فازی'!$B$6)))))</f>
        <v>0.25</v>
      </c>
      <c r="G48" s="21">
        <f>IF('امتیاز دهی خبرگان'!$D48=0,0,IF('امتیاز دهی خبرگان'!$D48=1,'طیف فازی'!$D$2,IF('امتیاز دهی خبرگان'!$D48=2,'طیف فازی'!$C$3,IF('امتیاز دهی خبرگان'!$D48=3,'طیف فازی'!$C$4,IF('امتیاز دهی خبرگان'!$D48=4,'طیف فازی'!$C$5,'طیف فازی'!$C$6)))))</f>
        <v>0.5</v>
      </c>
      <c r="H48" s="22">
        <f>IF('امتیاز دهی خبرگان'!$D48=0,0,IF('امتیاز دهی خبرگان'!$D48=1,'طیف فازی'!$D$2,IF('امتیاز دهی خبرگان'!$D48=2,'طیف فازی'!$D$3,IF('امتیاز دهی خبرگان'!$D48=3,'طیف فازی'!$D$4,IF('امتیاز دهی خبرگان'!$D48=4,'طیف فازی'!$D$5,'طیف فازی'!$D$6)))))</f>
        <v>0.75</v>
      </c>
      <c r="I48" s="17">
        <f>IF('امتیاز دهی خبرگان'!$E48=0,0,IF('امتیاز دهی خبرگان'!$E48=1,'طیف فازی'!$B$2,IF('امتیاز دهی خبرگان'!$E48=2,'طیف فازی'!$B$3,IF('امتیاز دهی خبرگان'!$E48=3,'طیف فازی'!$B$4,IF('امتیاز دهی خبرگان'!$E48=4,'طیف فازی'!$B$5,'طیف فازی'!$B$6)))))</f>
        <v>0.5</v>
      </c>
      <c r="J48" s="18">
        <f>IF('امتیاز دهی خبرگان'!$E48=0,0,IF('امتیاز دهی خبرگان'!$E48=1,'طیف فازی'!$C$2,IF('امتیاز دهی خبرگان'!$E48=2,'طیف فازی'!$C$3,IF('امتیاز دهی خبرگان'!$E48=3,'طیف فازی'!$C$4,IF('امتیاز دهی خبرگان'!$E48=4,'طیف فازی'!$C$5,'طیف فازی'!$C$6)))))</f>
        <v>0.75</v>
      </c>
      <c r="K48" s="19">
        <f>IF('امتیاز دهی خبرگان'!$E48=0,0,IF('امتیاز دهی خبرگان'!$E48=1,'طیف فازی'!$D$2,IF('امتیاز دهی خبرگان'!$E48=2,'طیف فازی'!$D$3,IF('امتیاز دهی خبرگان'!$E48=3,'طیف فازی'!$D$4,IF('امتیاز دهی خبرگان'!$E48=4,'طیف فازی'!$D$5,'طیف فازی'!$D$6)))))</f>
        <v>1</v>
      </c>
      <c r="L48" s="17">
        <f>IF('امتیاز دهی خبرگان'!$F48=0,0,IF('امتیاز دهی خبرگان'!$F48=1,'طیف فازی'!$B$2,IF('امتیاز دهی خبرگان'!$F48=2,'طیف فازی'!$B$3,IF('امتیاز دهی خبرگان'!$F48=3,'طیف فازی'!$B$4,IF('امتیاز دهی خبرگان'!$F48=4,'طیف فازی'!$B$5,'طیف فازی'!$B$6)))))</f>
        <v>0.5</v>
      </c>
      <c r="M48" s="18">
        <f>IF('امتیاز دهی خبرگان'!$F48=0,0,IF('امتیاز دهی خبرگان'!$F48=1,'طیف فازی'!$C$2,IF('امتیاز دهی خبرگان'!$F48=2,'طیف فازی'!$C$3,IF('امتیاز دهی خبرگان'!$F48=3,'طیف فازی'!$C$4,IF('امتیاز دهی خبرگان'!$F48=4,'طیف فازی'!$C$5,'طیف فازی'!$C$6)))))</f>
        <v>0.75</v>
      </c>
      <c r="N48" s="19">
        <f>IF('امتیاز دهی خبرگان'!$F48=0,0,IF('امتیاز دهی خبرگان'!$F48=1,'طیف فازی'!$D$2,IF('امتیاز دهی خبرگان'!$F48=2,'طیف فازی'!$D$3,IF('امتیاز دهی خبرگان'!$F48=3,'طیف فازی'!$D$4,IF('امتیاز دهی خبرگان'!$F48=4,'طیف فازی'!$D$5,'طیف فازی'!$D$6)))))</f>
        <v>1</v>
      </c>
      <c r="O48" s="17">
        <f>IF('امتیاز دهی خبرگان'!$G48=0,0,IF('امتیاز دهی خبرگان'!$G48=1,'طیف فازی'!$B$2,IF('امتیاز دهی خبرگان'!$G48=2,'طیف فازی'!$B$3,IF('امتیاز دهی خبرگان'!$G48=3,'طیف فازی'!$B$4,IF('امتیاز دهی خبرگان'!$G48=4,'طیف فازی'!$B$5,'طیف فازی'!$B$6)))))</f>
        <v>0</v>
      </c>
      <c r="P48" s="18">
        <f>IF('امتیاز دهی خبرگان'!$G48=0,0,IF('امتیاز دهی خبرگان'!$G48=1,'طیف فازی'!$C$2,IF('امتیاز دهی خبرگان'!$G48=2,'طیف فازی'!$C$3,IF('امتیاز دهی خبرگان'!$G48=3,'طیف فازی'!$C$4,IF('امتیاز دهی خبرگان'!$G48=4,'طیف فازی'!$C$5,'طیف فازی'!$C$6)))))</f>
        <v>0.25</v>
      </c>
      <c r="Q48" s="19">
        <f>IF('امتیاز دهی خبرگان'!$G48=0,0,IF('امتیاز دهی خبرگان'!$G48=1,'طیف فازی'!$D$2,IF('امتیاز دهی خبرگان'!$G48=2,'طیف فازی'!$D$3,IF('امتیاز دهی خبرگان'!$G48=3,'طیف فازی'!$D$4,IF('امتیاز دهی خبرگان'!$G48=4,'طیف فازی'!$D$5,'طیف فازی'!$D$6)))))</f>
        <v>0.5</v>
      </c>
      <c r="R48" s="17">
        <f>IF('امتیاز دهی خبرگان'!$H48=0,0,IF('امتیاز دهی خبرگان'!$H48=1,'طیف فازی'!$B$2,IF('امتیاز دهی خبرگان'!$H48=2,'طیف فازی'!$B$3,IF('امتیاز دهی خبرگان'!$H48=3,'طیف فازی'!$B$4,IF('امتیاز دهی خبرگان'!$H48=4,'طیف فازی'!$B$5,'طیف فازی'!$B$6)))))</f>
        <v>0.5</v>
      </c>
      <c r="S48" s="18">
        <f>IF('امتیاز دهی خبرگان'!$H48=0,0,IF('امتیاز دهی خبرگان'!$H48=1,'طیف فازی'!$C$2,IF('امتیاز دهی خبرگان'!$H48=2,'طیف فازی'!$C$3,IF('امتیاز دهی خبرگان'!$H48=3,'طیف فازی'!$C$4,IF('امتیاز دهی خبرگان'!$H48=4,'طیف فازی'!$C$5,'طیف فازی'!$C$6)))))</f>
        <v>0.75</v>
      </c>
      <c r="T48" s="19">
        <f>IF('امتیاز دهی خبرگان'!$H48=0,0,IF('امتیاز دهی خبرگان'!$H48=1,'طیف فازی'!$D$2,IF('امتیاز دهی خبرگان'!$H48=2,'طیف فازی'!$D$3,IF('امتیاز دهی خبرگان'!$H48=3,'طیف فازی'!$D$4,IF('امتیاز دهی خبرگان'!$H48=4,'طیف فازی'!$D$5,'طیف فازی'!$D$6)))))</f>
        <v>1</v>
      </c>
      <c r="U48" s="17">
        <f>IF('امتیاز دهی خبرگان'!$I48=0,0,IF('امتیاز دهی خبرگان'!$I48=1,'طیف فازی'!$B$2,IF('امتیاز دهی خبرگان'!$I48=2,'طیف فازی'!$B$3,IF('امتیاز دهی خبرگان'!$I48=3,'طیف فازی'!$B$4,IF('امتیاز دهی خبرگان'!$I48=4,'طیف فازی'!$B$5,'طیف فازی'!$B$6)))))</f>
        <v>0.75</v>
      </c>
      <c r="V48" s="18">
        <f>IF('امتیاز دهی خبرگان'!$I48=0,0,IF('امتیاز دهی خبرگان'!$I48=1,'طیف فازی'!$C$2,IF('امتیاز دهی خبرگان'!$I48=2,'طیف فازی'!$C$3,IF('امتیاز دهی خبرگان'!$I48=3,'طیف فازی'!$C$4,IF('امتیاز دهی خبرگان'!$I48=4,'طیف فازی'!$C$5,'طیف فازی'!$C$6)))))</f>
        <v>1</v>
      </c>
      <c r="W48" s="19">
        <f>IF('امتیاز دهی خبرگان'!$I48=0,0,IF('امتیاز دهی خبرگان'!$I48=1,'طیف فازی'!$D$2,IF('امتیاز دهی خبرگان'!$I48=2,'طیف فازی'!$D$3,IF('امتیاز دهی خبرگان'!$I48=3,'طیف فازی'!$D$4,IF('امتیاز دهی خبرگان'!$I48=4,'طیف فازی'!$D$5,'طیف فازی'!$D$6)))))</f>
        <v>1</v>
      </c>
      <c r="X48" s="17">
        <f>IF('امتیاز دهی خبرگان'!$J48=0,0,IF('امتیاز دهی خبرگان'!$J48=1,'طیف فازی'!$B$2,IF('امتیاز دهی خبرگان'!$J48=2,'طیف فازی'!$B$3,IF('امتیاز دهی خبرگان'!$J48=3,'طیف فازی'!$B$4,IF('امتیاز دهی خبرگان'!$J48=4,'طیف فازی'!$B$5,'طیف فازی'!$B$6)))))</f>
        <v>0.75</v>
      </c>
      <c r="Y48" s="18">
        <f>IF('امتیاز دهی خبرگان'!$J48=0,0,IF('امتیاز دهی خبرگان'!$J48=1,'طیف فازی'!$C$2,IF('امتیاز دهی خبرگان'!$J48=2,'طیف فازی'!$C$3,IF('امتیاز دهی خبرگان'!$J48=3,'طیف فازی'!$C$4,IF('امتیاز دهی خبرگان'!$J48=4,'طیف فازی'!$C$5,'طیف فازی'!$C$6)))))</f>
        <v>1</v>
      </c>
      <c r="Z48" s="19">
        <f>IF('امتیاز دهی خبرگان'!$J48=0,0,IF('امتیاز دهی خبرگان'!$J48=1,'طیف فازی'!$D$2,IF('امتیاز دهی خبرگان'!$J48=2,'طیف فازی'!$D$3,IF('امتیاز دهی خبرگان'!$J48=3,'طیف فازی'!$D$4,IF('امتیاز دهی خبرگان'!$J48=4,'طیف فازی'!$D$5,'طیف فازی'!$D$6)))))</f>
        <v>1</v>
      </c>
      <c r="AA48" s="17">
        <f>IF('امتیاز دهی خبرگان'!$K48=0,0,IF('امتیاز دهی خبرگان'!$K48=1,'طیف فازی'!$B$2,IF('امتیاز دهی خبرگان'!$K48=2,'طیف فازی'!$B$3,IF('امتیاز دهی خبرگان'!$K48=3,'طیف فازی'!$B$4,IF('امتیاز دهی خبرگان'!$K48=4,'طیف فازی'!$B$5,'طیف فازی'!$B$6)))))</f>
        <v>0.75</v>
      </c>
      <c r="AB48" s="18">
        <f>IF('امتیاز دهی خبرگان'!$K48=0,0,IF('امتیاز دهی خبرگان'!$K48=1,'طیف فازی'!$C$2,IF('امتیاز دهی خبرگان'!$K48=2,'طیف فازی'!$C$3,IF('امتیاز دهی خبرگان'!$K48=3,'طیف فازی'!$C$4,IF('امتیاز دهی خبرگان'!$K48=4,'طیف فازی'!$C$5,'طیف فازی'!$C$6)))))</f>
        <v>1</v>
      </c>
      <c r="AC48" s="19">
        <f>IF('امتیاز دهی خبرگان'!$K48=0,0,IF('امتیاز دهی خبرگان'!$K48=1,'طیف فازی'!$D$2,IF('امتیاز دهی خبرگان'!$K48=2,'طیف فازی'!$D$3,IF('امتیاز دهی خبرگان'!$K48=3,'طیف فازی'!$D$4,IF('امتیاز دهی خبرگان'!$K48=4,'طیف فازی'!$D$5,'طیف فازی'!$D$6)))))</f>
        <v>1</v>
      </c>
      <c r="AD48" s="17">
        <f>IF('امتیاز دهی خبرگان'!$L48=0,0,IF('امتیاز دهی خبرگان'!$L48=1,'طیف فازی'!$B$2,IF('امتیاز دهی خبرگان'!$L48=2,'طیف فازی'!$B$3,IF('امتیاز دهی خبرگان'!$L48=3,'طیف فازی'!$B$4,IF('امتیاز دهی خبرگان'!$L48=4,'طیف فازی'!$B$5,'طیف فازی'!$B$6)))))</f>
        <v>0.75</v>
      </c>
      <c r="AE48" s="18">
        <f>IF('امتیاز دهی خبرگان'!$L48=0,0,IF('امتیاز دهی خبرگان'!$L48=1,'طیف فازی'!$C$2,IF('امتیاز دهی خبرگان'!$L48=2,'طیف فازی'!$C$3,IF('امتیاز دهی خبرگان'!$L48=3,'طیف فازی'!$C$4,IF('امتیاز دهی خبرگان'!$L48=4,'طیف فازی'!$C$5,'طیف فازی'!$C$6)))))</f>
        <v>1</v>
      </c>
      <c r="AF48" s="19">
        <f>IF('امتیاز دهی خبرگان'!$L48=0,0,IF('امتیاز دهی خبرگان'!$L48=1,'طیف فازی'!$D$2,IF('امتیاز دهی خبرگان'!$L48=2,'طیف فازی'!$D$3,IF('امتیاز دهی خبرگان'!$L48=3,'طیف فازی'!$D$4,IF('امتیاز دهی خبرگان'!$L48=4,'طیف فازی'!$D$5,'طیف فازی'!$D$6)))))</f>
        <v>1</v>
      </c>
      <c r="AG48" s="17">
        <f>IF('امتیاز دهی خبرگان'!$M48=0,0,IF('امتیاز دهی خبرگان'!$M48=1,'طیف فازی'!$B$2,IF('امتیاز دهی خبرگان'!$M48=2,'طیف فازی'!$B$3,IF('امتیاز دهی خبرگان'!$M48=3,'طیف فازی'!$B$4,IF('امتیاز دهی خبرگان'!$M48=4,'طیف فازی'!$B$5,'طیف فازی'!$B$6)))))</f>
        <v>0.75</v>
      </c>
      <c r="AH48" s="18">
        <f>IF('امتیاز دهی خبرگان'!$M48=0,0,IF('امتیاز دهی خبرگان'!$M48=1,'طیف فازی'!$C$2,IF('امتیاز دهی خبرگان'!$M48=2,'طیف فازی'!$C$3,IF('امتیاز دهی خبرگان'!$M48=3,'طیف فازی'!$C$4,IF('امتیاز دهی خبرگان'!$M48=4,'طیف فازی'!$C$5,'طیف فازی'!$C$6)))))</f>
        <v>1</v>
      </c>
      <c r="AI48" s="19">
        <f>IF('امتیاز دهی خبرگان'!$M48=0,0,IF('امتیاز دهی خبرگان'!$M48=1,'طیف فازی'!$D$2,IF('امتیاز دهی خبرگان'!$M48=2,'طیف فازی'!$D$3,IF('امتیاز دهی خبرگان'!$M48=3,'طیف فازی'!$D$4,IF('امتیاز دهی خبرگان'!$M48=4,'طیف فازی'!$D$5,'طیف فازی'!$D$6)))))</f>
        <v>1</v>
      </c>
      <c r="AJ48" s="17">
        <f>IF('امتیاز دهی خبرگان'!$N48=0,0,IF('امتیاز دهی خبرگان'!$N48=1,'طیف فازی'!$B$2,IF('امتیاز دهی خبرگان'!$N48=2,'طیف فازی'!$B$3,IF('امتیاز دهی خبرگان'!$N48=3,'طیف فازی'!$B$4,IF('امتیاز دهی خبرگان'!$N48=4,'طیف فازی'!$B$5,'طیف فازی'!$B$6)))))</f>
        <v>0.75</v>
      </c>
      <c r="AK48" s="18">
        <f>IF('امتیاز دهی خبرگان'!$N48=0,0,IF('امتیاز دهی خبرگان'!$N48=1,'طیف فازی'!$C$2,IF('امتیاز دهی خبرگان'!$N48=2,'طیف فازی'!$C$3,IF('امتیاز دهی خبرگان'!$N48=3,'طیف فازی'!$C$4,IF('امتیاز دهی خبرگان'!$N48=4,'طیف فازی'!$C$5,'طیف فازی'!$C$6)))))</f>
        <v>1</v>
      </c>
      <c r="AL48" s="19">
        <f>IF('امتیاز دهی خبرگان'!$N48=0,0,IF('امتیاز دهی خبرگان'!$N48=1,'طیف فازی'!$D$2,IF('امتیاز دهی خبرگان'!$N48=2,'طیف فازی'!$D$3,IF('امتیاز دهی خبرگان'!$N48=3,'طیف فازی'!$D$4,IF('امتیاز دهی خبرگان'!$N48=4,'طیف فازی'!$D$5,'طیف فازی'!$D$6)))))</f>
        <v>1</v>
      </c>
      <c r="AM48" s="23">
        <f t="shared" si="1"/>
        <v>7</v>
      </c>
      <c r="AN48" s="23">
        <f t="shared" si="2"/>
        <v>10</v>
      </c>
      <c r="AO48" s="24">
        <f t="shared" si="3"/>
        <v>11.25</v>
      </c>
      <c r="AP48" s="25">
        <f t="shared" si="4"/>
        <v>0.58333333333333337</v>
      </c>
      <c r="AQ48" s="23">
        <f t="shared" si="5"/>
        <v>0.83333333333333337</v>
      </c>
      <c r="AR48" s="24">
        <f t="shared" si="6"/>
        <v>0.9375</v>
      </c>
      <c r="AS48" s="24">
        <f t="shared" si="7"/>
        <v>0.78472222222222232</v>
      </c>
      <c r="AT48" s="24" t="str">
        <f t="shared" si="8"/>
        <v>Pass</v>
      </c>
    </row>
    <row r="49" spans="2:46" ht="23.25" customHeight="1" thickBot="1" x14ac:dyDescent="0.85">
      <c r="B49" s="2">
        <v>47</v>
      </c>
      <c r="C49" s="17">
        <f>IF('امتیاز دهی خبرگان'!$C49=0,0,IF('امتیاز دهی خبرگان'!$C49=1,'طیف فازی'!$B$2,IF('امتیاز دهی خبرگان'!$C49=2,'طیف فازی'!$B$3,IF('امتیاز دهی خبرگان'!$C49=3,'طیف فازی'!$B$4,IF('امتیاز دهی خبرگان'!$C49=4,'طیف فازی'!$B$5,'طیف فازی'!$B$6)))))</f>
        <v>0.75</v>
      </c>
      <c r="D49" s="18">
        <f>IF('امتیاز دهی خبرگان'!$C49=0,0,IF('امتیاز دهی خبرگان'!$C49=1,'طیف فازی'!$C$2,IF('امتیاز دهی خبرگان'!$C49=2,'طیف فازی'!$C$3,IF('امتیاز دهی خبرگان'!$C49=3,'طیف فازی'!$C$4,IF('امتیاز دهی خبرگان'!$C49=4,'طیف فازی'!$C$5,'طیف فازی'!$C$6)))))</f>
        <v>1</v>
      </c>
      <c r="E49" s="19">
        <f>IF('امتیاز دهی خبرگان'!$C49=0,0,IF('امتیاز دهی خبرگان'!$C49=1,'طیف فازی'!$D$2,IF('امتیاز دهی خبرگان'!$C49=2,'طیف فازی'!$D$3,IF('امتیاز دهی خبرگان'!$C49=3,'طیف فازی'!$D$4,IF('امتیاز دهی خبرگان'!$C49=4,'طیف فازی'!$D$5,'طیف فازی'!$D$6)))))</f>
        <v>1</v>
      </c>
      <c r="F49" s="20">
        <f>IF('امتیاز دهی خبرگان'!$D49=0,0,IF('امتیاز دهی خبرگان'!$D49=1,'طیف فازی'!$B$2,IF('امتیاز دهی خبرگان'!$D49=2,'طیف فازی'!$B$3,IF('امتیاز دهی خبرگان'!$D49=3,'طیف فازی'!$B$4,IF('امتیاز دهی خبرگان'!$D49=4,'طیف فازی'!$B$5,'طیف فازی'!$B$6)))))</f>
        <v>0.25</v>
      </c>
      <c r="G49" s="21">
        <f>IF('امتیاز دهی خبرگان'!$D49=0,0,IF('امتیاز دهی خبرگان'!$D49=1,'طیف فازی'!$D$2,IF('امتیاز دهی خبرگان'!$D49=2,'طیف فازی'!$C$3,IF('امتیاز دهی خبرگان'!$D49=3,'طیف فازی'!$C$4,IF('امتیاز دهی خبرگان'!$D49=4,'طیف فازی'!$C$5,'طیف فازی'!$C$6)))))</f>
        <v>0.5</v>
      </c>
      <c r="H49" s="22">
        <f>IF('امتیاز دهی خبرگان'!$D49=0,0,IF('امتیاز دهی خبرگان'!$D49=1,'طیف فازی'!$D$2,IF('امتیاز دهی خبرگان'!$D49=2,'طیف فازی'!$D$3,IF('امتیاز دهی خبرگان'!$D49=3,'طیف فازی'!$D$4,IF('امتیاز دهی خبرگان'!$D49=4,'طیف فازی'!$D$5,'طیف فازی'!$D$6)))))</f>
        <v>0.75</v>
      </c>
      <c r="I49" s="17">
        <f>IF('امتیاز دهی خبرگان'!$E49=0,0,IF('امتیاز دهی خبرگان'!$E49=1,'طیف فازی'!$B$2,IF('امتیاز دهی خبرگان'!$E49=2,'طیف فازی'!$B$3,IF('امتیاز دهی خبرگان'!$E49=3,'طیف فازی'!$B$4,IF('امتیاز دهی خبرگان'!$E49=4,'طیف فازی'!$B$5,'طیف فازی'!$B$6)))))</f>
        <v>0.5</v>
      </c>
      <c r="J49" s="18">
        <f>IF('امتیاز دهی خبرگان'!$E49=0,0,IF('امتیاز دهی خبرگان'!$E49=1,'طیف فازی'!$C$2,IF('امتیاز دهی خبرگان'!$E49=2,'طیف فازی'!$C$3,IF('امتیاز دهی خبرگان'!$E49=3,'طیف فازی'!$C$4,IF('امتیاز دهی خبرگان'!$E49=4,'طیف فازی'!$C$5,'طیف فازی'!$C$6)))))</f>
        <v>0.75</v>
      </c>
      <c r="K49" s="19">
        <f>IF('امتیاز دهی خبرگان'!$E49=0,0,IF('امتیاز دهی خبرگان'!$E49=1,'طیف فازی'!$D$2,IF('امتیاز دهی خبرگان'!$E49=2,'طیف فازی'!$D$3,IF('امتیاز دهی خبرگان'!$E49=3,'طیف فازی'!$D$4,IF('امتیاز دهی خبرگان'!$E49=4,'طیف فازی'!$D$5,'طیف فازی'!$D$6)))))</f>
        <v>1</v>
      </c>
      <c r="L49" s="17">
        <f>IF('امتیاز دهی خبرگان'!$F49=0,0,IF('امتیاز دهی خبرگان'!$F49=1,'طیف فازی'!$B$2,IF('امتیاز دهی خبرگان'!$F49=2,'طیف فازی'!$B$3,IF('امتیاز دهی خبرگان'!$F49=3,'طیف فازی'!$B$4,IF('امتیاز دهی خبرگان'!$F49=4,'طیف فازی'!$B$5,'طیف فازی'!$B$6)))))</f>
        <v>0.75</v>
      </c>
      <c r="M49" s="18">
        <f>IF('امتیاز دهی خبرگان'!$F49=0,0,IF('امتیاز دهی خبرگان'!$F49=1,'طیف فازی'!$C$2,IF('امتیاز دهی خبرگان'!$F49=2,'طیف فازی'!$C$3,IF('امتیاز دهی خبرگان'!$F49=3,'طیف فازی'!$C$4,IF('امتیاز دهی خبرگان'!$F49=4,'طیف فازی'!$C$5,'طیف فازی'!$C$6)))))</f>
        <v>1</v>
      </c>
      <c r="N49" s="19">
        <f>IF('امتیاز دهی خبرگان'!$F49=0,0,IF('امتیاز دهی خبرگان'!$F49=1,'طیف فازی'!$D$2,IF('امتیاز دهی خبرگان'!$F49=2,'طیف فازی'!$D$3,IF('امتیاز دهی خبرگان'!$F49=3,'طیف فازی'!$D$4,IF('امتیاز دهی خبرگان'!$F49=4,'طیف فازی'!$D$5,'طیف فازی'!$D$6)))))</f>
        <v>1</v>
      </c>
      <c r="O49" s="17">
        <f>IF('امتیاز دهی خبرگان'!$G49=0,0,IF('امتیاز دهی خبرگان'!$G49=1,'طیف فازی'!$B$2,IF('امتیاز دهی خبرگان'!$G49=2,'طیف فازی'!$B$3,IF('امتیاز دهی خبرگان'!$G49=3,'طیف فازی'!$B$4,IF('امتیاز دهی خبرگان'!$G49=4,'طیف فازی'!$B$5,'طیف فازی'!$B$6)))))</f>
        <v>0.25</v>
      </c>
      <c r="P49" s="18">
        <f>IF('امتیاز دهی خبرگان'!$G49=0,0,IF('امتیاز دهی خبرگان'!$G49=1,'طیف فازی'!$C$2,IF('امتیاز دهی خبرگان'!$G49=2,'طیف فازی'!$C$3,IF('امتیاز دهی خبرگان'!$G49=3,'طیف فازی'!$C$4,IF('امتیاز دهی خبرگان'!$G49=4,'طیف فازی'!$C$5,'طیف فازی'!$C$6)))))</f>
        <v>0.5</v>
      </c>
      <c r="Q49" s="19">
        <f>IF('امتیاز دهی خبرگان'!$G49=0,0,IF('امتیاز دهی خبرگان'!$G49=1,'طیف فازی'!$D$2,IF('امتیاز دهی خبرگان'!$G49=2,'طیف فازی'!$D$3,IF('امتیاز دهی خبرگان'!$G49=3,'طیف فازی'!$D$4,IF('امتیاز دهی خبرگان'!$G49=4,'طیف فازی'!$D$5,'طیف فازی'!$D$6)))))</f>
        <v>0.75</v>
      </c>
      <c r="R49" s="17">
        <f>IF('امتیاز دهی خبرگان'!$H49=0,0,IF('امتیاز دهی خبرگان'!$H49=1,'طیف فازی'!$B$2,IF('امتیاز دهی خبرگان'!$H49=2,'طیف فازی'!$B$3,IF('امتیاز دهی خبرگان'!$H49=3,'طیف فازی'!$B$4,IF('امتیاز دهی خبرگان'!$H49=4,'طیف فازی'!$B$5,'طیف فازی'!$B$6)))))</f>
        <v>0.25</v>
      </c>
      <c r="S49" s="18">
        <f>IF('امتیاز دهی خبرگان'!$H49=0,0,IF('امتیاز دهی خبرگان'!$H49=1,'طیف فازی'!$C$2,IF('امتیاز دهی خبرگان'!$H49=2,'طیف فازی'!$C$3,IF('امتیاز دهی خبرگان'!$H49=3,'طیف فازی'!$C$4,IF('امتیاز دهی خبرگان'!$H49=4,'طیف فازی'!$C$5,'طیف فازی'!$C$6)))))</f>
        <v>0.5</v>
      </c>
      <c r="T49" s="19">
        <f>IF('امتیاز دهی خبرگان'!$H49=0,0,IF('امتیاز دهی خبرگان'!$H49=1,'طیف فازی'!$D$2,IF('امتیاز دهی خبرگان'!$H49=2,'طیف فازی'!$D$3,IF('امتیاز دهی خبرگان'!$H49=3,'طیف فازی'!$D$4,IF('امتیاز دهی خبرگان'!$H49=4,'طیف فازی'!$D$5,'طیف فازی'!$D$6)))))</f>
        <v>0.75</v>
      </c>
      <c r="U49" s="17">
        <f>IF('امتیاز دهی خبرگان'!$I49=0,0,IF('امتیاز دهی خبرگان'!$I49=1,'طیف فازی'!$B$2,IF('امتیاز دهی خبرگان'!$I49=2,'طیف فازی'!$B$3,IF('امتیاز دهی خبرگان'!$I49=3,'طیف فازی'!$B$4,IF('امتیاز دهی خبرگان'!$I49=4,'طیف فازی'!$B$5,'طیف فازی'!$B$6)))))</f>
        <v>0.75</v>
      </c>
      <c r="V49" s="18">
        <f>IF('امتیاز دهی خبرگان'!$I49=0,0,IF('امتیاز دهی خبرگان'!$I49=1,'طیف فازی'!$C$2,IF('امتیاز دهی خبرگان'!$I49=2,'طیف فازی'!$C$3,IF('امتیاز دهی خبرگان'!$I49=3,'طیف فازی'!$C$4,IF('امتیاز دهی خبرگان'!$I49=4,'طیف فازی'!$C$5,'طیف فازی'!$C$6)))))</f>
        <v>1</v>
      </c>
      <c r="W49" s="19">
        <f>IF('امتیاز دهی خبرگان'!$I49=0,0,IF('امتیاز دهی خبرگان'!$I49=1,'طیف فازی'!$D$2,IF('امتیاز دهی خبرگان'!$I49=2,'طیف فازی'!$D$3,IF('امتیاز دهی خبرگان'!$I49=3,'طیف فازی'!$D$4,IF('امتیاز دهی خبرگان'!$I49=4,'طیف فازی'!$D$5,'طیف فازی'!$D$6)))))</f>
        <v>1</v>
      </c>
      <c r="X49" s="17">
        <f>IF('امتیاز دهی خبرگان'!$J49=0,0,IF('امتیاز دهی خبرگان'!$J49=1,'طیف فازی'!$B$2,IF('امتیاز دهی خبرگان'!$J49=2,'طیف فازی'!$B$3,IF('امتیاز دهی خبرگان'!$J49=3,'طیف فازی'!$B$4,IF('امتیاز دهی خبرگان'!$J49=4,'طیف فازی'!$B$5,'طیف فازی'!$B$6)))))</f>
        <v>0.75</v>
      </c>
      <c r="Y49" s="18">
        <f>IF('امتیاز دهی خبرگان'!$J49=0,0,IF('امتیاز دهی خبرگان'!$J49=1,'طیف فازی'!$C$2,IF('امتیاز دهی خبرگان'!$J49=2,'طیف فازی'!$C$3,IF('امتیاز دهی خبرگان'!$J49=3,'طیف فازی'!$C$4,IF('امتیاز دهی خبرگان'!$J49=4,'طیف فازی'!$C$5,'طیف فازی'!$C$6)))))</f>
        <v>1</v>
      </c>
      <c r="Z49" s="19">
        <f>IF('امتیاز دهی خبرگان'!$J49=0,0,IF('امتیاز دهی خبرگان'!$J49=1,'طیف فازی'!$D$2,IF('امتیاز دهی خبرگان'!$J49=2,'طیف فازی'!$D$3,IF('امتیاز دهی خبرگان'!$J49=3,'طیف فازی'!$D$4,IF('امتیاز دهی خبرگان'!$J49=4,'طیف فازی'!$D$5,'طیف فازی'!$D$6)))))</f>
        <v>1</v>
      </c>
      <c r="AA49" s="17">
        <f>IF('امتیاز دهی خبرگان'!$K49=0,0,IF('امتیاز دهی خبرگان'!$K49=1,'طیف فازی'!$B$2,IF('امتیاز دهی خبرگان'!$K49=2,'طیف فازی'!$B$3,IF('امتیاز دهی خبرگان'!$K49=3,'طیف فازی'!$B$4,IF('امتیاز دهی خبرگان'!$K49=4,'طیف فازی'!$B$5,'طیف فازی'!$B$6)))))</f>
        <v>0.75</v>
      </c>
      <c r="AB49" s="18">
        <f>IF('امتیاز دهی خبرگان'!$K49=0,0,IF('امتیاز دهی خبرگان'!$K49=1,'طیف فازی'!$C$2,IF('امتیاز دهی خبرگان'!$K49=2,'طیف فازی'!$C$3,IF('امتیاز دهی خبرگان'!$K49=3,'طیف فازی'!$C$4,IF('امتیاز دهی خبرگان'!$K49=4,'طیف فازی'!$C$5,'طیف فازی'!$C$6)))))</f>
        <v>1</v>
      </c>
      <c r="AC49" s="19">
        <f>IF('امتیاز دهی خبرگان'!$K49=0,0,IF('امتیاز دهی خبرگان'!$K49=1,'طیف فازی'!$D$2,IF('امتیاز دهی خبرگان'!$K49=2,'طیف فازی'!$D$3,IF('امتیاز دهی خبرگان'!$K49=3,'طیف فازی'!$D$4,IF('امتیاز دهی خبرگان'!$K49=4,'طیف فازی'!$D$5,'طیف فازی'!$D$6)))))</f>
        <v>1</v>
      </c>
      <c r="AD49" s="17">
        <f>IF('امتیاز دهی خبرگان'!$L49=0,0,IF('امتیاز دهی خبرگان'!$L49=1,'طیف فازی'!$B$2,IF('امتیاز دهی خبرگان'!$L49=2,'طیف فازی'!$B$3,IF('امتیاز دهی خبرگان'!$L49=3,'طیف فازی'!$B$4,IF('امتیاز دهی خبرگان'!$L49=4,'طیف فازی'!$B$5,'طیف فازی'!$B$6)))))</f>
        <v>0.75</v>
      </c>
      <c r="AE49" s="18">
        <f>IF('امتیاز دهی خبرگان'!$L49=0,0,IF('امتیاز دهی خبرگان'!$L49=1,'طیف فازی'!$C$2,IF('امتیاز دهی خبرگان'!$L49=2,'طیف فازی'!$C$3,IF('امتیاز دهی خبرگان'!$L49=3,'طیف فازی'!$C$4,IF('امتیاز دهی خبرگان'!$L49=4,'طیف فازی'!$C$5,'طیف فازی'!$C$6)))))</f>
        <v>1</v>
      </c>
      <c r="AF49" s="19">
        <f>IF('امتیاز دهی خبرگان'!$L49=0,0,IF('امتیاز دهی خبرگان'!$L49=1,'طیف فازی'!$D$2,IF('امتیاز دهی خبرگان'!$L49=2,'طیف فازی'!$D$3,IF('امتیاز دهی خبرگان'!$L49=3,'طیف فازی'!$D$4,IF('امتیاز دهی خبرگان'!$L49=4,'طیف فازی'!$D$5,'طیف فازی'!$D$6)))))</f>
        <v>1</v>
      </c>
      <c r="AG49" s="17">
        <f>IF('امتیاز دهی خبرگان'!$M49=0,0,IF('امتیاز دهی خبرگان'!$M49=1,'طیف فازی'!$B$2,IF('امتیاز دهی خبرگان'!$M49=2,'طیف فازی'!$B$3,IF('امتیاز دهی خبرگان'!$M49=3,'طیف فازی'!$B$4,IF('امتیاز دهی خبرگان'!$M49=4,'طیف فازی'!$B$5,'طیف فازی'!$B$6)))))</f>
        <v>0.75</v>
      </c>
      <c r="AH49" s="18">
        <f>IF('امتیاز دهی خبرگان'!$M49=0,0,IF('امتیاز دهی خبرگان'!$M49=1,'طیف فازی'!$C$2,IF('امتیاز دهی خبرگان'!$M49=2,'طیف فازی'!$C$3,IF('امتیاز دهی خبرگان'!$M49=3,'طیف فازی'!$C$4,IF('امتیاز دهی خبرگان'!$M49=4,'طیف فازی'!$C$5,'طیف فازی'!$C$6)))))</f>
        <v>1</v>
      </c>
      <c r="AI49" s="19">
        <f>IF('امتیاز دهی خبرگان'!$M49=0,0,IF('امتیاز دهی خبرگان'!$M49=1,'طیف فازی'!$D$2,IF('امتیاز دهی خبرگان'!$M49=2,'طیف فازی'!$D$3,IF('امتیاز دهی خبرگان'!$M49=3,'طیف فازی'!$D$4,IF('امتیاز دهی خبرگان'!$M49=4,'طیف فازی'!$D$5,'طیف فازی'!$D$6)))))</f>
        <v>1</v>
      </c>
      <c r="AJ49" s="17">
        <f>IF('امتیاز دهی خبرگان'!$N49=0,0,IF('امتیاز دهی خبرگان'!$N49=1,'طیف فازی'!$B$2,IF('امتیاز دهی خبرگان'!$N49=2,'طیف فازی'!$B$3,IF('امتیاز دهی خبرگان'!$N49=3,'طیف فازی'!$B$4,IF('امتیاز دهی خبرگان'!$N49=4,'طیف فازی'!$B$5,'طیف فازی'!$B$6)))))</f>
        <v>0.75</v>
      </c>
      <c r="AK49" s="18">
        <f>IF('امتیاز دهی خبرگان'!$N49=0,0,IF('امتیاز دهی خبرگان'!$N49=1,'طیف فازی'!$C$2,IF('امتیاز دهی خبرگان'!$N49=2,'طیف فازی'!$C$3,IF('امتیاز دهی خبرگان'!$N49=3,'طیف فازی'!$C$4,IF('امتیاز دهی خبرگان'!$N49=4,'طیف فازی'!$C$5,'طیف فازی'!$C$6)))))</f>
        <v>1</v>
      </c>
      <c r="AL49" s="19">
        <f>IF('امتیاز دهی خبرگان'!$N49=0,0,IF('امتیاز دهی خبرگان'!$N49=1,'طیف فازی'!$D$2,IF('امتیاز دهی خبرگان'!$N49=2,'طیف فازی'!$D$3,IF('امتیاز دهی خبرگان'!$N49=3,'طیف فازی'!$D$4,IF('امتیاز دهی خبرگان'!$N49=4,'طیف فازی'!$D$5,'طیف فازی'!$D$6)))))</f>
        <v>1</v>
      </c>
      <c r="AM49" s="23">
        <f t="shared" si="1"/>
        <v>7.25</v>
      </c>
      <c r="AN49" s="23">
        <f t="shared" si="2"/>
        <v>10.25</v>
      </c>
      <c r="AO49" s="24">
        <f t="shared" si="3"/>
        <v>11.25</v>
      </c>
      <c r="AP49" s="25">
        <f t="shared" si="4"/>
        <v>0.60416666666666663</v>
      </c>
      <c r="AQ49" s="23">
        <f t="shared" si="5"/>
        <v>0.85416666666666663</v>
      </c>
      <c r="AR49" s="24">
        <f t="shared" si="6"/>
        <v>0.9375</v>
      </c>
      <c r="AS49" s="24">
        <f t="shared" si="7"/>
        <v>0.79861111111111105</v>
      </c>
      <c r="AT49" s="24" t="str">
        <f t="shared" si="8"/>
        <v>Pass</v>
      </c>
    </row>
    <row r="50" spans="2:46" ht="23.25" customHeight="1" thickBot="1" x14ac:dyDescent="0.85">
      <c r="B50" s="2">
        <v>48</v>
      </c>
      <c r="C50" s="17">
        <f>IF('امتیاز دهی خبرگان'!$C50=0,0,IF('امتیاز دهی خبرگان'!$C50=1,'طیف فازی'!$B$2,IF('امتیاز دهی خبرگان'!$C50=2,'طیف فازی'!$B$3,IF('امتیاز دهی خبرگان'!$C50=3,'طیف فازی'!$B$4,IF('امتیاز دهی خبرگان'!$C50=4,'طیف فازی'!$B$5,'طیف فازی'!$B$6)))))</f>
        <v>0.75</v>
      </c>
      <c r="D50" s="18">
        <f>IF('امتیاز دهی خبرگان'!$C50=0,0,IF('امتیاز دهی خبرگان'!$C50=1,'طیف فازی'!$C$2,IF('امتیاز دهی خبرگان'!$C50=2,'طیف فازی'!$C$3,IF('امتیاز دهی خبرگان'!$C50=3,'طیف فازی'!$C$4,IF('امتیاز دهی خبرگان'!$C50=4,'طیف فازی'!$C$5,'طیف فازی'!$C$6)))))</f>
        <v>1</v>
      </c>
      <c r="E50" s="19">
        <f>IF('امتیاز دهی خبرگان'!$C50=0,0,IF('امتیاز دهی خبرگان'!$C50=1,'طیف فازی'!$D$2,IF('امتیاز دهی خبرگان'!$C50=2,'طیف فازی'!$D$3,IF('امتیاز دهی خبرگان'!$C50=3,'طیف فازی'!$D$4,IF('امتیاز دهی خبرگان'!$C50=4,'طیف فازی'!$D$5,'طیف فازی'!$D$6)))))</f>
        <v>1</v>
      </c>
      <c r="F50" s="20">
        <f>IF('امتیاز دهی خبرگان'!$D50=0,0,IF('امتیاز دهی خبرگان'!$D50=1,'طیف فازی'!$B$2,IF('امتیاز دهی خبرگان'!$D50=2,'طیف فازی'!$B$3,IF('امتیاز دهی خبرگان'!$D50=3,'طیف فازی'!$B$4,IF('امتیاز دهی خبرگان'!$D50=4,'طیف فازی'!$B$5,'طیف فازی'!$B$6)))))</f>
        <v>0.25</v>
      </c>
      <c r="G50" s="21">
        <f>IF('امتیاز دهی خبرگان'!$D50=0,0,IF('امتیاز دهی خبرگان'!$D50=1,'طیف فازی'!$D$2,IF('امتیاز دهی خبرگان'!$D50=2,'طیف فازی'!$C$3,IF('امتیاز دهی خبرگان'!$D50=3,'طیف فازی'!$C$4,IF('امتیاز دهی خبرگان'!$D50=4,'طیف فازی'!$C$5,'طیف فازی'!$C$6)))))</f>
        <v>0.5</v>
      </c>
      <c r="H50" s="22">
        <f>IF('امتیاز دهی خبرگان'!$D50=0,0,IF('امتیاز دهی خبرگان'!$D50=1,'طیف فازی'!$D$2,IF('امتیاز دهی خبرگان'!$D50=2,'طیف فازی'!$D$3,IF('امتیاز دهی خبرگان'!$D50=3,'طیف فازی'!$D$4,IF('امتیاز دهی خبرگان'!$D50=4,'طیف فازی'!$D$5,'طیف فازی'!$D$6)))))</f>
        <v>0.75</v>
      </c>
      <c r="I50" s="17">
        <f>IF('امتیاز دهی خبرگان'!$E50=0,0,IF('امتیاز دهی خبرگان'!$E50=1,'طیف فازی'!$B$2,IF('امتیاز دهی خبرگان'!$E50=2,'طیف فازی'!$B$3,IF('امتیاز دهی خبرگان'!$E50=3,'طیف فازی'!$B$4,IF('امتیاز دهی خبرگان'!$E50=4,'طیف فازی'!$B$5,'طیف فازی'!$B$6)))))</f>
        <v>0.75</v>
      </c>
      <c r="J50" s="18">
        <f>IF('امتیاز دهی خبرگان'!$E50=0,0,IF('امتیاز دهی خبرگان'!$E50=1,'طیف فازی'!$C$2,IF('امتیاز دهی خبرگان'!$E50=2,'طیف فازی'!$C$3,IF('امتیاز دهی خبرگان'!$E50=3,'طیف فازی'!$C$4,IF('امتیاز دهی خبرگان'!$E50=4,'طیف فازی'!$C$5,'طیف فازی'!$C$6)))))</f>
        <v>1</v>
      </c>
      <c r="K50" s="19">
        <f>IF('امتیاز دهی خبرگان'!$E50=0,0,IF('امتیاز دهی خبرگان'!$E50=1,'طیف فازی'!$D$2,IF('امتیاز دهی خبرگان'!$E50=2,'طیف فازی'!$D$3,IF('امتیاز دهی خبرگان'!$E50=3,'طیف فازی'!$D$4,IF('امتیاز دهی خبرگان'!$E50=4,'طیف فازی'!$D$5,'طیف فازی'!$D$6)))))</f>
        <v>1</v>
      </c>
      <c r="L50" s="17">
        <f>IF('امتیاز دهی خبرگان'!$F50=0,0,IF('امتیاز دهی خبرگان'!$F50=1,'طیف فازی'!$B$2,IF('امتیاز دهی خبرگان'!$F50=2,'طیف فازی'!$B$3,IF('امتیاز دهی خبرگان'!$F50=3,'طیف فازی'!$B$4,IF('امتیاز دهی خبرگان'!$F50=4,'طیف فازی'!$B$5,'طیف فازی'!$B$6)))))</f>
        <v>0.75</v>
      </c>
      <c r="M50" s="18">
        <f>IF('امتیاز دهی خبرگان'!$F50=0,0,IF('امتیاز دهی خبرگان'!$F50=1,'طیف فازی'!$C$2,IF('امتیاز دهی خبرگان'!$F50=2,'طیف فازی'!$C$3,IF('امتیاز دهی خبرگان'!$F50=3,'طیف فازی'!$C$4,IF('امتیاز دهی خبرگان'!$F50=4,'طیف فازی'!$C$5,'طیف فازی'!$C$6)))))</f>
        <v>1</v>
      </c>
      <c r="N50" s="19">
        <f>IF('امتیاز دهی خبرگان'!$F50=0,0,IF('امتیاز دهی خبرگان'!$F50=1,'طیف فازی'!$D$2,IF('امتیاز دهی خبرگان'!$F50=2,'طیف فازی'!$D$3,IF('امتیاز دهی خبرگان'!$F50=3,'طیف فازی'!$D$4,IF('امتیاز دهی خبرگان'!$F50=4,'طیف فازی'!$D$5,'طیف فازی'!$D$6)))))</f>
        <v>1</v>
      </c>
      <c r="O50" s="17">
        <f>IF('امتیاز دهی خبرگان'!$G50=0,0,IF('امتیاز دهی خبرگان'!$G50=1,'طیف فازی'!$B$2,IF('امتیاز دهی خبرگان'!$G50=2,'طیف فازی'!$B$3,IF('امتیاز دهی خبرگان'!$G50=3,'طیف فازی'!$B$4,IF('امتیاز دهی خبرگان'!$G50=4,'طیف فازی'!$B$5,'طیف فازی'!$B$6)))))</f>
        <v>0</v>
      </c>
      <c r="P50" s="18">
        <f>IF('امتیاز دهی خبرگان'!$G50=0,0,IF('امتیاز دهی خبرگان'!$G50=1,'طیف فازی'!$C$2,IF('امتیاز دهی خبرگان'!$G50=2,'طیف فازی'!$C$3,IF('امتیاز دهی خبرگان'!$G50=3,'طیف فازی'!$C$4,IF('امتیاز دهی خبرگان'!$G50=4,'طیف فازی'!$C$5,'طیف فازی'!$C$6)))))</f>
        <v>0.25</v>
      </c>
      <c r="Q50" s="19">
        <f>IF('امتیاز دهی خبرگان'!$G50=0,0,IF('امتیاز دهی خبرگان'!$G50=1,'طیف فازی'!$D$2,IF('امتیاز دهی خبرگان'!$G50=2,'طیف فازی'!$D$3,IF('امتیاز دهی خبرگان'!$G50=3,'طیف فازی'!$D$4,IF('امتیاز دهی خبرگان'!$G50=4,'طیف فازی'!$D$5,'طیف فازی'!$D$6)))))</f>
        <v>0.5</v>
      </c>
      <c r="R50" s="17">
        <f>IF('امتیاز دهی خبرگان'!$H50=0,0,IF('امتیاز دهی خبرگان'!$H50=1,'طیف فازی'!$B$2,IF('امتیاز دهی خبرگان'!$H50=2,'طیف فازی'!$B$3,IF('امتیاز دهی خبرگان'!$H50=3,'طیف فازی'!$B$4,IF('امتیاز دهی خبرگان'!$H50=4,'طیف فازی'!$B$5,'طیف فازی'!$B$6)))))</f>
        <v>0.25</v>
      </c>
      <c r="S50" s="18">
        <f>IF('امتیاز دهی خبرگان'!$H50=0,0,IF('امتیاز دهی خبرگان'!$H50=1,'طیف فازی'!$C$2,IF('امتیاز دهی خبرگان'!$H50=2,'طیف فازی'!$C$3,IF('امتیاز دهی خبرگان'!$H50=3,'طیف فازی'!$C$4,IF('امتیاز دهی خبرگان'!$H50=4,'طیف فازی'!$C$5,'طیف فازی'!$C$6)))))</f>
        <v>0.5</v>
      </c>
      <c r="T50" s="19">
        <f>IF('امتیاز دهی خبرگان'!$H50=0,0,IF('امتیاز دهی خبرگان'!$H50=1,'طیف فازی'!$D$2,IF('امتیاز دهی خبرگان'!$H50=2,'طیف فازی'!$D$3,IF('امتیاز دهی خبرگان'!$H50=3,'طیف فازی'!$D$4,IF('امتیاز دهی خبرگان'!$H50=4,'طیف فازی'!$D$5,'طیف فازی'!$D$6)))))</f>
        <v>0.75</v>
      </c>
      <c r="U50" s="17">
        <f>IF('امتیاز دهی خبرگان'!$I50=0,0,IF('امتیاز دهی خبرگان'!$I50=1,'طیف فازی'!$B$2,IF('امتیاز دهی خبرگان'!$I50=2,'طیف فازی'!$B$3,IF('امتیاز دهی خبرگان'!$I50=3,'طیف فازی'!$B$4,IF('امتیاز دهی خبرگان'!$I50=4,'طیف فازی'!$B$5,'طیف فازی'!$B$6)))))</f>
        <v>0.75</v>
      </c>
      <c r="V50" s="18">
        <f>IF('امتیاز دهی خبرگان'!$I50=0,0,IF('امتیاز دهی خبرگان'!$I50=1,'طیف فازی'!$C$2,IF('امتیاز دهی خبرگان'!$I50=2,'طیف فازی'!$C$3,IF('امتیاز دهی خبرگان'!$I50=3,'طیف فازی'!$C$4,IF('امتیاز دهی خبرگان'!$I50=4,'طیف فازی'!$C$5,'طیف فازی'!$C$6)))))</f>
        <v>1</v>
      </c>
      <c r="W50" s="19">
        <f>IF('امتیاز دهی خبرگان'!$I50=0,0,IF('امتیاز دهی خبرگان'!$I50=1,'طیف فازی'!$D$2,IF('امتیاز دهی خبرگان'!$I50=2,'طیف فازی'!$D$3,IF('امتیاز دهی خبرگان'!$I50=3,'طیف فازی'!$D$4,IF('امتیاز دهی خبرگان'!$I50=4,'طیف فازی'!$D$5,'طیف فازی'!$D$6)))))</f>
        <v>1</v>
      </c>
      <c r="X50" s="17">
        <f>IF('امتیاز دهی خبرگان'!$J50=0,0,IF('امتیاز دهی خبرگان'!$J50=1,'طیف فازی'!$B$2,IF('امتیاز دهی خبرگان'!$J50=2,'طیف فازی'!$B$3,IF('امتیاز دهی خبرگان'!$J50=3,'طیف فازی'!$B$4,IF('امتیاز دهی خبرگان'!$J50=4,'طیف فازی'!$B$5,'طیف فازی'!$B$6)))))</f>
        <v>0.75</v>
      </c>
      <c r="Y50" s="18">
        <f>IF('امتیاز دهی خبرگان'!$J50=0,0,IF('امتیاز دهی خبرگان'!$J50=1,'طیف فازی'!$C$2,IF('امتیاز دهی خبرگان'!$J50=2,'طیف فازی'!$C$3,IF('امتیاز دهی خبرگان'!$J50=3,'طیف فازی'!$C$4,IF('امتیاز دهی خبرگان'!$J50=4,'طیف فازی'!$C$5,'طیف فازی'!$C$6)))))</f>
        <v>1</v>
      </c>
      <c r="Z50" s="19">
        <f>IF('امتیاز دهی خبرگان'!$J50=0,0,IF('امتیاز دهی خبرگان'!$J50=1,'طیف فازی'!$D$2,IF('امتیاز دهی خبرگان'!$J50=2,'طیف فازی'!$D$3,IF('امتیاز دهی خبرگان'!$J50=3,'طیف فازی'!$D$4,IF('امتیاز دهی خبرگان'!$J50=4,'طیف فازی'!$D$5,'طیف فازی'!$D$6)))))</f>
        <v>1</v>
      </c>
      <c r="AA50" s="17">
        <f>IF('امتیاز دهی خبرگان'!$K50=0,0,IF('امتیاز دهی خبرگان'!$K50=1,'طیف فازی'!$B$2,IF('امتیاز دهی خبرگان'!$K50=2,'طیف فازی'!$B$3,IF('امتیاز دهی خبرگان'!$K50=3,'طیف فازی'!$B$4,IF('امتیاز دهی خبرگان'!$K50=4,'طیف فازی'!$B$5,'طیف فازی'!$B$6)))))</f>
        <v>0.75</v>
      </c>
      <c r="AB50" s="18">
        <f>IF('امتیاز دهی خبرگان'!$K50=0,0,IF('امتیاز دهی خبرگان'!$K50=1,'طیف فازی'!$C$2,IF('امتیاز دهی خبرگان'!$K50=2,'طیف فازی'!$C$3,IF('امتیاز دهی خبرگان'!$K50=3,'طیف فازی'!$C$4,IF('امتیاز دهی خبرگان'!$K50=4,'طیف فازی'!$C$5,'طیف فازی'!$C$6)))))</f>
        <v>1</v>
      </c>
      <c r="AC50" s="19">
        <f>IF('امتیاز دهی خبرگان'!$K50=0,0,IF('امتیاز دهی خبرگان'!$K50=1,'طیف فازی'!$D$2,IF('امتیاز دهی خبرگان'!$K50=2,'طیف فازی'!$D$3,IF('امتیاز دهی خبرگان'!$K50=3,'طیف فازی'!$D$4,IF('امتیاز دهی خبرگان'!$K50=4,'طیف فازی'!$D$5,'طیف فازی'!$D$6)))))</f>
        <v>1</v>
      </c>
      <c r="AD50" s="17">
        <f>IF('امتیاز دهی خبرگان'!$L50=0,0,IF('امتیاز دهی خبرگان'!$L50=1,'طیف فازی'!$B$2,IF('امتیاز دهی خبرگان'!$L50=2,'طیف فازی'!$B$3,IF('امتیاز دهی خبرگان'!$L50=3,'طیف فازی'!$B$4,IF('امتیاز دهی خبرگان'!$L50=4,'طیف فازی'!$B$5,'طیف فازی'!$B$6)))))</f>
        <v>0.75</v>
      </c>
      <c r="AE50" s="18">
        <f>IF('امتیاز دهی خبرگان'!$L50=0,0,IF('امتیاز دهی خبرگان'!$L50=1,'طیف فازی'!$C$2,IF('امتیاز دهی خبرگان'!$L50=2,'طیف فازی'!$C$3,IF('امتیاز دهی خبرگان'!$L50=3,'طیف فازی'!$C$4,IF('امتیاز دهی خبرگان'!$L50=4,'طیف فازی'!$C$5,'طیف فازی'!$C$6)))))</f>
        <v>1</v>
      </c>
      <c r="AF50" s="19">
        <f>IF('امتیاز دهی خبرگان'!$L50=0,0,IF('امتیاز دهی خبرگان'!$L50=1,'طیف فازی'!$D$2,IF('امتیاز دهی خبرگان'!$L50=2,'طیف فازی'!$D$3,IF('امتیاز دهی خبرگان'!$L50=3,'طیف فازی'!$D$4,IF('امتیاز دهی خبرگان'!$L50=4,'طیف فازی'!$D$5,'طیف فازی'!$D$6)))))</f>
        <v>1</v>
      </c>
      <c r="AG50" s="17">
        <f>IF('امتیاز دهی خبرگان'!$M50=0,0,IF('امتیاز دهی خبرگان'!$M50=1,'طیف فازی'!$B$2,IF('امتیاز دهی خبرگان'!$M50=2,'طیف فازی'!$B$3,IF('امتیاز دهی خبرگان'!$M50=3,'طیف فازی'!$B$4,IF('امتیاز دهی خبرگان'!$M50=4,'طیف فازی'!$B$5,'طیف فازی'!$B$6)))))</f>
        <v>0.75</v>
      </c>
      <c r="AH50" s="18">
        <f>IF('امتیاز دهی خبرگان'!$M50=0,0,IF('امتیاز دهی خبرگان'!$M50=1,'طیف فازی'!$C$2,IF('امتیاز دهی خبرگان'!$M50=2,'طیف فازی'!$C$3,IF('امتیاز دهی خبرگان'!$M50=3,'طیف فازی'!$C$4,IF('امتیاز دهی خبرگان'!$M50=4,'طیف فازی'!$C$5,'طیف فازی'!$C$6)))))</f>
        <v>1</v>
      </c>
      <c r="AI50" s="19">
        <f>IF('امتیاز دهی خبرگان'!$M50=0,0,IF('امتیاز دهی خبرگان'!$M50=1,'طیف فازی'!$D$2,IF('امتیاز دهی خبرگان'!$M50=2,'طیف فازی'!$D$3,IF('امتیاز دهی خبرگان'!$M50=3,'طیف فازی'!$D$4,IF('امتیاز دهی خبرگان'!$M50=4,'طیف فازی'!$D$5,'طیف فازی'!$D$6)))))</f>
        <v>1</v>
      </c>
      <c r="AJ50" s="17">
        <f>IF('امتیاز دهی خبرگان'!$N50=0,0,IF('امتیاز دهی خبرگان'!$N50=1,'طیف فازی'!$B$2,IF('امتیاز دهی خبرگان'!$N50=2,'طیف فازی'!$B$3,IF('امتیاز دهی خبرگان'!$N50=3,'طیف فازی'!$B$4,IF('امتیاز دهی خبرگان'!$N50=4,'طیف فازی'!$B$5,'طیف فازی'!$B$6)))))</f>
        <v>0.75</v>
      </c>
      <c r="AK50" s="18">
        <f>IF('امتیاز دهی خبرگان'!$N50=0,0,IF('امتیاز دهی خبرگان'!$N50=1,'طیف فازی'!$C$2,IF('امتیاز دهی خبرگان'!$N50=2,'طیف فازی'!$C$3,IF('امتیاز دهی خبرگان'!$N50=3,'طیف فازی'!$C$4,IF('امتیاز دهی خبرگان'!$N50=4,'طیف فازی'!$C$5,'طیف فازی'!$C$6)))))</f>
        <v>1</v>
      </c>
      <c r="AL50" s="19">
        <f>IF('امتیاز دهی خبرگان'!$N50=0,0,IF('امتیاز دهی خبرگان'!$N50=1,'طیف فازی'!$D$2,IF('امتیاز دهی خبرگان'!$N50=2,'طیف فازی'!$D$3,IF('امتیاز دهی خبرگان'!$N50=3,'طیف فازی'!$D$4,IF('امتیاز دهی خبرگان'!$N50=4,'طیف فازی'!$D$5,'طیف فازی'!$D$6)))))</f>
        <v>1</v>
      </c>
      <c r="AM50" s="23">
        <f t="shared" si="1"/>
        <v>7.25</v>
      </c>
      <c r="AN50" s="23">
        <f t="shared" si="2"/>
        <v>10.25</v>
      </c>
      <c r="AO50" s="24">
        <f t="shared" si="3"/>
        <v>11</v>
      </c>
      <c r="AP50" s="25">
        <f t="shared" si="4"/>
        <v>0.60416666666666663</v>
      </c>
      <c r="AQ50" s="23">
        <f t="shared" si="5"/>
        <v>0.85416666666666663</v>
      </c>
      <c r="AR50" s="24">
        <f t="shared" si="6"/>
        <v>0.91666666666666663</v>
      </c>
      <c r="AS50" s="24">
        <f t="shared" si="7"/>
        <v>0.79166666666666663</v>
      </c>
      <c r="AT50" s="24" t="str">
        <f t="shared" si="8"/>
        <v>Pass</v>
      </c>
    </row>
    <row r="51" spans="2:46" ht="23.25" customHeight="1" thickBot="1" x14ac:dyDescent="0.85">
      <c r="B51" s="2">
        <v>49</v>
      </c>
      <c r="C51" s="17">
        <f>IF('امتیاز دهی خبرگان'!$C51=0,0,IF('امتیاز دهی خبرگان'!$C51=1,'طیف فازی'!$B$2,IF('امتیاز دهی خبرگان'!$C51=2,'طیف فازی'!$B$3,IF('امتیاز دهی خبرگان'!$C51=3,'طیف فازی'!$B$4,IF('امتیاز دهی خبرگان'!$C51=4,'طیف فازی'!$B$5,'طیف فازی'!$B$6)))))</f>
        <v>0.75</v>
      </c>
      <c r="D51" s="18">
        <f>IF('امتیاز دهی خبرگان'!$C51=0,0,IF('امتیاز دهی خبرگان'!$C51=1,'طیف فازی'!$C$2,IF('امتیاز دهی خبرگان'!$C51=2,'طیف فازی'!$C$3,IF('امتیاز دهی خبرگان'!$C51=3,'طیف فازی'!$C$4,IF('امتیاز دهی خبرگان'!$C51=4,'طیف فازی'!$C$5,'طیف فازی'!$C$6)))))</f>
        <v>1</v>
      </c>
      <c r="E51" s="19">
        <f>IF('امتیاز دهی خبرگان'!$C51=0,0,IF('امتیاز دهی خبرگان'!$C51=1,'طیف فازی'!$D$2,IF('امتیاز دهی خبرگان'!$C51=2,'طیف فازی'!$D$3,IF('امتیاز دهی خبرگان'!$C51=3,'طیف فازی'!$D$4,IF('امتیاز دهی خبرگان'!$C51=4,'طیف فازی'!$D$5,'طیف فازی'!$D$6)))))</f>
        <v>1</v>
      </c>
      <c r="F51" s="20">
        <f>IF('امتیاز دهی خبرگان'!$D51=0,0,IF('امتیاز دهی خبرگان'!$D51=1,'طیف فازی'!$B$2,IF('امتیاز دهی خبرگان'!$D51=2,'طیف فازی'!$B$3,IF('امتیاز دهی خبرگان'!$D51=3,'طیف فازی'!$B$4,IF('امتیاز دهی خبرگان'!$D51=4,'طیف فازی'!$B$5,'طیف فازی'!$B$6)))))</f>
        <v>0</v>
      </c>
      <c r="G51" s="21">
        <f>IF('امتیاز دهی خبرگان'!$D51=0,0,IF('امتیاز دهی خبرگان'!$D51=1,'طیف فازی'!$D$2,IF('امتیاز دهی خبرگان'!$D51=2,'طیف فازی'!$C$3,IF('امتیاز دهی خبرگان'!$D51=3,'طیف فازی'!$C$4,IF('امتیاز دهی خبرگان'!$D51=4,'طیف فازی'!$C$5,'طیف فازی'!$C$6)))))</f>
        <v>0.25</v>
      </c>
      <c r="H51" s="22">
        <f>IF('امتیاز دهی خبرگان'!$D51=0,0,IF('امتیاز دهی خبرگان'!$D51=1,'طیف فازی'!$D$2,IF('امتیاز دهی خبرگان'!$D51=2,'طیف فازی'!$D$3,IF('امتیاز دهی خبرگان'!$D51=3,'طیف فازی'!$D$4,IF('امتیاز دهی خبرگان'!$D51=4,'طیف فازی'!$D$5,'طیف فازی'!$D$6)))))</f>
        <v>0.5</v>
      </c>
      <c r="I51" s="17">
        <f>IF('امتیاز دهی خبرگان'!$E51=0,0,IF('امتیاز دهی خبرگان'!$E51=1,'طیف فازی'!$B$2,IF('امتیاز دهی خبرگان'!$E51=2,'طیف فازی'!$B$3,IF('امتیاز دهی خبرگان'!$E51=3,'طیف فازی'!$B$4,IF('امتیاز دهی خبرگان'!$E51=4,'طیف فازی'!$B$5,'طیف فازی'!$B$6)))))</f>
        <v>0.5</v>
      </c>
      <c r="J51" s="18">
        <f>IF('امتیاز دهی خبرگان'!$E51=0,0,IF('امتیاز دهی خبرگان'!$E51=1,'طیف فازی'!$C$2,IF('امتیاز دهی خبرگان'!$E51=2,'طیف فازی'!$C$3,IF('امتیاز دهی خبرگان'!$E51=3,'طیف فازی'!$C$4,IF('امتیاز دهی خبرگان'!$E51=4,'طیف فازی'!$C$5,'طیف فازی'!$C$6)))))</f>
        <v>0.75</v>
      </c>
      <c r="K51" s="19">
        <f>IF('امتیاز دهی خبرگان'!$E51=0,0,IF('امتیاز دهی خبرگان'!$E51=1,'طیف فازی'!$D$2,IF('امتیاز دهی خبرگان'!$E51=2,'طیف فازی'!$D$3,IF('امتیاز دهی خبرگان'!$E51=3,'طیف فازی'!$D$4,IF('امتیاز دهی خبرگان'!$E51=4,'طیف فازی'!$D$5,'طیف فازی'!$D$6)))))</f>
        <v>1</v>
      </c>
      <c r="L51" s="17">
        <f>IF('امتیاز دهی خبرگان'!$F51=0,0,IF('امتیاز دهی خبرگان'!$F51=1,'طیف فازی'!$B$2,IF('امتیاز دهی خبرگان'!$F51=2,'طیف فازی'!$B$3,IF('امتیاز دهی خبرگان'!$F51=3,'طیف فازی'!$B$4,IF('امتیاز دهی خبرگان'!$F51=4,'طیف فازی'!$B$5,'طیف فازی'!$B$6)))))</f>
        <v>0.75</v>
      </c>
      <c r="M51" s="18">
        <f>IF('امتیاز دهی خبرگان'!$F51=0,0,IF('امتیاز دهی خبرگان'!$F51=1,'طیف فازی'!$C$2,IF('امتیاز دهی خبرگان'!$F51=2,'طیف فازی'!$C$3,IF('امتیاز دهی خبرگان'!$F51=3,'طیف فازی'!$C$4,IF('امتیاز دهی خبرگان'!$F51=4,'طیف فازی'!$C$5,'طیف فازی'!$C$6)))))</f>
        <v>1</v>
      </c>
      <c r="N51" s="19">
        <f>IF('امتیاز دهی خبرگان'!$F51=0,0,IF('امتیاز دهی خبرگان'!$F51=1,'طیف فازی'!$D$2,IF('امتیاز دهی خبرگان'!$F51=2,'طیف فازی'!$D$3,IF('امتیاز دهی خبرگان'!$F51=3,'طیف فازی'!$D$4,IF('امتیاز دهی خبرگان'!$F51=4,'طیف فازی'!$D$5,'طیف فازی'!$D$6)))))</f>
        <v>1</v>
      </c>
      <c r="O51" s="17">
        <f>IF('امتیاز دهی خبرگان'!$G51=0,0,IF('امتیاز دهی خبرگان'!$G51=1,'طیف فازی'!$B$2,IF('امتیاز دهی خبرگان'!$G51=2,'طیف فازی'!$B$3,IF('امتیاز دهی خبرگان'!$G51=3,'طیف فازی'!$B$4,IF('امتیاز دهی خبرگان'!$G51=4,'طیف فازی'!$B$5,'طیف فازی'!$B$6)))))</f>
        <v>0</v>
      </c>
      <c r="P51" s="18">
        <f>IF('امتیاز دهی خبرگان'!$G51=0,0,IF('امتیاز دهی خبرگان'!$G51=1,'طیف فازی'!$C$2,IF('امتیاز دهی خبرگان'!$G51=2,'طیف فازی'!$C$3,IF('امتیاز دهی خبرگان'!$G51=3,'طیف فازی'!$C$4,IF('امتیاز دهی خبرگان'!$G51=4,'طیف فازی'!$C$5,'طیف فازی'!$C$6)))))</f>
        <v>0</v>
      </c>
      <c r="Q51" s="19">
        <f>IF('امتیاز دهی خبرگان'!$G51=0,0,IF('امتیاز دهی خبرگان'!$G51=1,'طیف فازی'!$D$2,IF('امتیاز دهی خبرگان'!$G51=2,'طیف فازی'!$D$3,IF('امتیاز دهی خبرگان'!$G51=3,'طیف فازی'!$D$4,IF('امتیاز دهی خبرگان'!$G51=4,'طیف فازی'!$D$5,'طیف فازی'!$D$6)))))</f>
        <v>0.25</v>
      </c>
      <c r="R51" s="17">
        <f>IF('امتیاز دهی خبرگان'!$H51=0,0,IF('امتیاز دهی خبرگان'!$H51=1,'طیف فازی'!$B$2,IF('امتیاز دهی خبرگان'!$H51=2,'طیف فازی'!$B$3,IF('امتیاز دهی خبرگان'!$H51=3,'طیف فازی'!$B$4,IF('امتیاز دهی خبرگان'!$H51=4,'طیف فازی'!$B$5,'طیف فازی'!$B$6)))))</f>
        <v>0.5</v>
      </c>
      <c r="S51" s="18">
        <f>IF('امتیاز دهی خبرگان'!$H51=0,0,IF('امتیاز دهی خبرگان'!$H51=1,'طیف فازی'!$C$2,IF('امتیاز دهی خبرگان'!$H51=2,'طیف فازی'!$C$3,IF('امتیاز دهی خبرگان'!$H51=3,'طیف فازی'!$C$4,IF('امتیاز دهی خبرگان'!$H51=4,'طیف فازی'!$C$5,'طیف فازی'!$C$6)))))</f>
        <v>0.75</v>
      </c>
      <c r="T51" s="19">
        <f>IF('امتیاز دهی خبرگان'!$H51=0,0,IF('امتیاز دهی خبرگان'!$H51=1,'طیف فازی'!$D$2,IF('امتیاز دهی خبرگان'!$H51=2,'طیف فازی'!$D$3,IF('امتیاز دهی خبرگان'!$H51=3,'طیف فازی'!$D$4,IF('امتیاز دهی خبرگان'!$H51=4,'طیف فازی'!$D$5,'طیف فازی'!$D$6)))))</f>
        <v>1</v>
      </c>
      <c r="U51" s="17">
        <f>IF('امتیاز دهی خبرگان'!$I51=0,0,IF('امتیاز دهی خبرگان'!$I51=1,'طیف فازی'!$B$2,IF('امتیاز دهی خبرگان'!$I51=2,'طیف فازی'!$B$3,IF('امتیاز دهی خبرگان'!$I51=3,'طیف فازی'!$B$4,IF('امتیاز دهی خبرگان'!$I51=4,'طیف فازی'!$B$5,'طیف فازی'!$B$6)))))</f>
        <v>0.5</v>
      </c>
      <c r="V51" s="18">
        <f>IF('امتیاز دهی خبرگان'!$I51=0,0,IF('امتیاز دهی خبرگان'!$I51=1,'طیف فازی'!$C$2,IF('امتیاز دهی خبرگان'!$I51=2,'طیف فازی'!$C$3,IF('امتیاز دهی خبرگان'!$I51=3,'طیف فازی'!$C$4,IF('امتیاز دهی خبرگان'!$I51=4,'طیف فازی'!$C$5,'طیف فازی'!$C$6)))))</f>
        <v>0.75</v>
      </c>
      <c r="W51" s="19">
        <f>IF('امتیاز دهی خبرگان'!$I51=0,0,IF('امتیاز دهی خبرگان'!$I51=1,'طیف فازی'!$D$2,IF('امتیاز دهی خبرگان'!$I51=2,'طیف فازی'!$D$3,IF('امتیاز دهی خبرگان'!$I51=3,'طیف فازی'!$D$4,IF('امتیاز دهی خبرگان'!$I51=4,'طیف فازی'!$D$5,'طیف فازی'!$D$6)))))</f>
        <v>1</v>
      </c>
      <c r="X51" s="17">
        <f>IF('امتیاز دهی خبرگان'!$J51=0,0,IF('امتیاز دهی خبرگان'!$J51=1,'طیف فازی'!$B$2,IF('امتیاز دهی خبرگان'!$J51=2,'طیف فازی'!$B$3,IF('امتیاز دهی خبرگان'!$J51=3,'طیف فازی'!$B$4,IF('امتیاز دهی خبرگان'!$J51=4,'طیف فازی'!$B$5,'طیف فازی'!$B$6)))))</f>
        <v>0.75</v>
      </c>
      <c r="Y51" s="18">
        <f>IF('امتیاز دهی خبرگان'!$J51=0,0,IF('امتیاز دهی خبرگان'!$J51=1,'طیف فازی'!$C$2,IF('امتیاز دهی خبرگان'!$J51=2,'طیف فازی'!$C$3,IF('امتیاز دهی خبرگان'!$J51=3,'طیف فازی'!$C$4,IF('امتیاز دهی خبرگان'!$J51=4,'طیف فازی'!$C$5,'طیف فازی'!$C$6)))))</f>
        <v>1</v>
      </c>
      <c r="Z51" s="19">
        <f>IF('امتیاز دهی خبرگان'!$J51=0,0,IF('امتیاز دهی خبرگان'!$J51=1,'طیف فازی'!$D$2,IF('امتیاز دهی خبرگان'!$J51=2,'طیف فازی'!$D$3,IF('امتیاز دهی خبرگان'!$J51=3,'طیف فازی'!$D$4,IF('امتیاز دهی خبرگان'!$J51=4,'طیف فازی'!$D$5,'طیف فازی'!$D$6)))))</f>
        <v>1</v>
      </c>
      <c r="AA51" s="17">
        <f>IF('امتیاز دهی خبرگان'!$K51=0,0,IF('امتیاز دهی خبرگان'!$K51=1,'طیف فازی'!$B$2,IF('امتیاز دهی خبرگان'!$K51=2,'طیف فازی'!$B$3,IF('امتیاز دهی خبرگان'!$K51=3,'طیف فازی'!$B$4,IF('امتیاز دهی خبرگان'!$K51=4,'طیف فازی'!$B$5,'طیف فازی'!$B$6)))))</f>
        <v>0.5</v>
      </c>
      <c r="AB51" s="18">
        <f>IF('امتیاز دهی خبرگان'!$K51=0,0,IF('امتیاز دهی خبرگان'!$K51=1,'طیف فازی'!$C$2,IF('امتیاز دهی خبرگان'!$K51=2,'طیف فازی'!$C$3,IF('امتیاز دهی خبرگان'!$K51=3,'طیف فازی'!$C$4,IF('امتیاز دهی خبرگان'!$K51=4,'طیف فازی'!$C$5,'طیف فازی'!$C$6)))))</f>
        <v>0.75</v>
      </c>
      <c r="AC51" s="19">
        <f>IF('امتیاز دهی خبرگان'!$K51=0,0,IF('امتیاز دهی خبرگان'!$K51=1,'طیف فازی'!$D$2,IF('امتیاز دهی خبرگان'!$K51=2,'طیف فازی'!$D$3,IF('امتیاز دهی خبرگان'!$K51=3,'طیف فازی'!$D$4,IF('امتیاز دهی خبرگان'!$K51=4,'طیف فازی'!$D$5,'طیف فازی'!$D$6)))))</f>
        <v>1</v>
      </c>
      <c r="AD51" s="17">
        <f>IF('امتیاز دهی خبرگان'!$L51=0,0,IF('امتیاز دهی خبرگان'!$L51=1,'طیف فازی'!$B$2,IF('امتیاز دهی خبرگان'!$L51=2,'طیف فازی'!$B$3,IF('امتیاز دهی خبرگان'!$L51=3,'طیف فازی'!$B$4,IF('امتیاز دهی خبرگان'!$L51=4,'طیف فازی'!$B$5,'طیف فازی'!$B$6)))))</f>
        <v>0.5</v>
      </c>
      <c r="AE51" s="18">
        <f>IF('امتیاز دهی خبرگان'!$L51=0,0,IF('امتیاز دهی خبرگان'!$L51=1,'طیف فازی'!$C$2,IF('امتیاز دهی خبرگان'!$L51=2,'طیف فازی'!$C$3,IF('امتیاز دهی خبرگان'!$L51=3,'طیف فازی'!$C$4,IF('امتیاز دهی خبرگان'!$L51=4,'طیف فازی'!$C$5,'طیف فازی'!$C$6)))))</f>
        <v>0.75</v>
      </c>
      <c r="AF51" s="19">
        <f>IF('امتیاز دهی خبرگان'!$L51=0,0,IF('امتیاز دهی خبرگان'!$L51=1,'طیف فازی'!$D$2,IF('امتیاز دهی خبرگان'!$L51=2,'طیف فازی'!$D$3,IF('امتیاز دهی خبرگان'!$L51=3,'طیف فازی'!$D$4,IF('امتیاز دهی خبرگان'!$L51=4,'طیف فازی'!$D$5,'طیف فازی'!$D$6)))))</f>
        <v>1</v>
      </c>
      <c r="AG51" s="17">
        <f>IF('امتیاز دهی خبرگان'!$M51=0,0,IF('امتیاز دهی خبرگان'!$M51=1,'طیف فازی'!$B$2,IF('امتیاز دهی خبرگان'!$M51=2,'طیف فازی'!$B$3,IF('امتیاز دهی خبرگان'!$M51=3,'طیف فازی'!$B$4,IF('امتیاز دهی خبرگان'!$M51=4,'طیف فازی'!$B$5,'طیف فازی'!$B$6)))))</f>
        <v>0.75</v>
      </c>
      <c r="AH51" s="18">
        <f>IF('امتیاز دهی خبرگان'!$M51=0,0,IF('امتیاز دهی خبرگان'!$M51=1,'طیف فازی'!$C$2,IF('امتیاز دهی خبرگان'!$M51=2,'طیف فازی'!$C$3,IF('امتیاز دهی خبرگان'!$M51=3,'طیف فازی'!$C$4,IF('امتیاز دهی خبرگان'!$M51=4,'طیف فازی'!$C$5,'طیف فازی'!$C$6)))))</f>
        <v>1</v>
      </c>
      <c r="AI51" s="19">
        <f>IF('امتیاز دهی خبرگان'!$M51=0,0,IF('امتیاز دهی خبرگان'!$M51=1,'طیف فازی'!$D$2,IF('امتیاز دهی خبرگان'!$M51=2,'طیف فازی'!$D$3,IF('امتیاز دهی خبرگان'!$M51=3,'طیف فازی'!$D$4,IF('امتیاز دهی خبرگان'!$M51=4,'طیف فازی'!$D$5,'طیف فازی'!$D$6)))))</f>
        <v>1</v>
      </c>
      <c r="AJ51" s="17">
        <f>IF('امتیاز دهی خبرگان'!$N51=0,0,IF('امتیاز دهی خبرگان'!$N51=1,'طیف فازی'!$B$2,IF('امتیاز دهی خبرگان'!$N51=2,'طیف فازی'!$B$3,IF('امتیاز دهی خبرگان'!$N51=3,'طیف فازی'!$B$4,IF('امتیاز دهی خبرگان'!$N51=4,'طیف فازی'!$B$5,'طیف فازی'!$B$6)))))</f>
        <v>0.75</v>
      </c>
      <c r="AK51" s="18">
        <f>IF('امتیاز دهی خبرگان'!$N51=0,0,IF('امتیاز دهی خبرگان'!$N51=1,'طیف فازی'!$C$2,IF('امتیاز دهی خبرگان'!$N51=2,'طیف فازی'!$C$3,IF('امتیاز دهی خبرگان'!$N51=3,'طیف فازی'!$C$4,IF('امتیاز دهی خبرگان'!$N51=4,'طیف فازی'!$C$5,'طیف فازی'!$C$6)))))</f>
        <v>1</v>
      </c>
      <c r="AL51" s="19">
        <f>IF('امتیاز دهی خبرگان'!$N51=0,0,IF('امتیاز دهی خبرگان'!$N51=1,'طیف فازی'!$D$2,IF('امتیاز دهی خبرگان'!$N51=2,'طیف فازی'!$D$3,IF('امتیاز دهی خبرگان'!$N51=3,'طیف فازی'!$D$4,IF('امتیاز دهی خبرگان'!$N51=4,'طیف فازی'!$D$5,'طیف فازی'!$D$6)))))</f>
        <v>1</v>
      </c>
      <c r="AM51" s="23">
        <f t="shared" si="1"/>
        <v>6.25</v>
      </c>
      <c r="AN51" s="23">
        <f t="shared" si="2"/>
        <v>9</v>
      </c>
      <c r="AO51" s="24">
        <f t="shared" si="3"/>
        <v>10.75</v>
      </c>
      <c r="AP51" s="25">
        <f t="shared" si="4"/>
        <v>0.52083333333333337</v>
      </c>
      <c r="AQ51" s="23">
        <f t="shared" si="5"/>
        <v>0.75</v>
      </c>
      <c r="AR51" s="24">
        <f t="shared" si="6"/>
        <v>0.89583333333333337</v>
      </c>
      <c r="AS51" s="24">
        <f t="shared" si="7"/>
        <v>0.72222222222222232</v>
      </c>
      <c r="AT51" s="24" t="str">
        <f t="shared" si="8"/>
        <v>Pass</v>
      </c>
    </row>
    <row r="52" spans="2:46" ht="23.25" customHeight="1" thickBot="1" x14ac:dyDescent="0.85">
      <c r="B52" s="2">
        <v>50</v>
      </c>
      <c r="C52" s="17">
        <f>IF('امتیاز دهی خبرگان'!$C52=0,0,IF('امتیاز دهی خبرگان'!$C52=1,'طیف فازی'!$B$2,IF('امتیاز دهی خبرگان'!$C52=2,'طیف فازی'!$B$3,IF('امتیاز دهی خبرگان'!$C52=3,'طیف فازی'!$B$4,IF('امتیاز دهی خبرگان'!$C52=4,'طیف فازی'!$B$5,'طیف فازی'!$B$6)))))</f>
        <v>0.75</v>
      </c>
      <c r="D52" s="18">
        <f>IF('امتیاز دهی خبرگان'!$C52=0,0,IF('امتیاز دهی خبرگان'!$C52=1,'طیف فازی'!$C$2,IF('امتیاز دهی خبرگان'!$C52=2,'طیف فازی'!$C$3,IF('امتیاز دهی خبرگان'!$C52=3,'طیف فازی'!$C$4,IF('امتیاز دهی خبرگان'!$C52=4,'طیف فازی'!$C$5,'طیف فازی'!$C$6)))))</f>
        <v>1</v>
      </c>
      <c r="E52" s="19">
        <f>IF('امتیاز دهی خبرگان'!$C52=0,0,IF('امتیاز دهی خبرگان'!$C52=1,'طیف فازی'!$D$2,IF('امتیاز دهی خبرگان'!$C52=2,'طیف فازی'!$D$3,IF('امتیاز دهی خبرگان'!$C52=3,'طیف فازی'!$D$4,IF('امتیاز دهی خبرگان'!$C52=4,'طیف فازی'!$D$5,'طیف فازی'!$D$6)))))</f>
        <v>1</v>
      </c>
      <c r="F52" s="20">
        <f>IF('امتیاز دهی خبرگان'!$D52=0,0,IF('امتیاز دهی خبرگان'!$D52=1,'طیف فازی'!$B$2,IF('امتیاز دهی خبرگان'!$D52=2,'طیف فازی'!$B$3,IF('امتیاز دهی خبرگان'!$D52=3,'طیف فازی'!$B$4,IF('امتیاز دهی خبرگان'!$D52=4,'طیف فازی'!$B$5,'طیف فازی'!$B$6)))))</f>
        <v>0.5</v>
      </c>
      <c r="G52" s="21">
        <f>IF('امتیاز دهی خبرگان'!$D52=0,0,IF('امتیاز دهی خبرگان'!$D52=1,'طیف فازی'!$D$2,IF('امتیاز دهی خبرگان'!$D52=2,'طیف فازی'!$C$3,IF('امتیاز دهی خبرگان'!$D52=3,'طیف فازی'!$C$4,IF('امتیاز دهی خبرگان'!$D52=4,'طیف فازی'!$C$5,'طیف فازی'!$C$6)))))</f>
        <v>0.75</v>
      </c>
      <c r="H52" s="22">
        <f>IF('امتیاز دهی خبرگان'!$D52=0,0,IF('امتیاز دهی خبرگان'!$D52=1,'طیف فازی'!$D$2,IF('امتیاز دهی خبرگان'!$D52=2,'طیف فازی'!$D$3,IF('امتیاز دهی خبرگان'!$D52=3,'طیف فازی'!$D$4,IF('امتیاز دهی خبرگان'!$D52=4,'طیف فازی'!$D$5,'طیف فازی'!$D$6)))))</f>
        <v>1</v>
      </c>
      <c r="I52" s="17">
        <f>IF('امتیاز دهی خبرگان'!$E52=0,0,IF('امتیاز دهی خبرگان'!$E52=1,'طیف فازی'!$B$2,IF('امتیاز دهی خبرگان'!$E52=2,'طیف فازی'!$B$3,IF('امتیاز دهی خبرگان'!$E52=3,'طیف فازی'!$B$4,IF('امتیاز دهی خبرگان'!$E52=4,'طیف فازی'!$B$5,'طیف فازی'!$B$6)))))</f>
        <v>0.25</v>
      </c>
      <c r="J52" s="18">
        <f>IF('امتیاز دهی خبرگان'!$E52=0,0,IF('امتیاز دهی خبرگان'!$E52=1,'طیف فازی'!$C$2,IF('امتیاز دهی خبرگان'!$E52=2,'طیف فازی'!$C$3,IF('امتیاز دهی خبرگان'!$E52=3,'طیف فازی'!$C$4,IF('امتیاز دهی خبرگان'!$E52=4,'طیف فازی'!$C$5,'طیف فازی'!$C$6)))))</f>
        <v>0.5</v>
      </c>
      <c r="K52" s="19">
        <f>IF('امتیاز دهی خبرگان'!$E52=0,0,IF('امتیاز دهی خبرگان'!$E52=1,'طیف فازی'!$D$2,IF('امتیاز دهی خبرگان'!$E52=2,'طیف فازی'!$D$3,IF('امتیاز دهی خبرگان'!$E52=3,'طیف فازی'!$D$4,IF('امتیاز دهی خبرگان'!$E52=4,'طیف فازی'!$D$5,'طیف فازی'!$D$6)))))</f>
        <v>0.75</v>
      </c>
      <c r="L52" s="17">
        <f>IF('امتیاز دهی خبرگان'!$F52=0,0,IF('امتیاز دهی خبرگان'!$F52=1,'طیف فازی'!$B$2,IF('امتیاز دهی خبرگان'!$F52=2,'طیف فازی'!$B$3,IF('امتیاز دهی خبرگان'!$F52=3,'طیف فازی'!$B$4,IF('امتیاز دهی خبرگان'!$F52=4,'طیف فازی'!$B$5,'طیف فازی'!$B$6)))))</f>
        <v>0.75</v>
      </c>
      <c r="M52" s="18">
        <f>IF('امتیاز دهی خبرگان'!$F52=0,0,IF('امتیاز دهی خبرگان'!$F52=1,'طیف فازی'!$C$2,IF('امتیاز دهی خبرگان'!$F52=2,'طیف فازی'!$C$3,IF('امتیاز دهی خبرگان'!$F52=3,'طیف فازی'!$C$4,IF('امتیاز دهی خبرگان'!$F52=4,'طیف فازی'!$C$5,'طیف فازی'!$C$6)))))</f>
        <v>1</v>
      </c>
      <c r="N52" s="19">
        <f>IF('امتیاز دهی خبرگان'!$F52=0,0,IF('امتیاز دهی خبرگان'!$F52=1,'طیف فازی'!$D$2,IF('امتیاز دهی خبرگان'!$F52=2,'طیف فازی'!$D$3,IF('امتیاز دهی خبرگان'!$F52=3,'طیف فازی'!$D$4,IF('امتیاز دهی خبرگان'!$F52=4,'طیف فازی'!$D$5,'طیف فازی'!$D$6)))))</f>
        <v>1</v>
      </c>
      <c r="O52" s="17">
        <f>IF('امتیاز دهی خبرگان'!$G52=0,0,IF('امتیاز دهی خبرگان'!$G52=1,'طیف فازی'!$B$2,IF('امتیاز دهی خبرگان'!$G52=2,'طیف فازی'!$B$3,IF('امتیاز دهی خبرگان'!$G52=3,'طیف فازی'!$B$4,IF('امتیاز دهی خبرگان'!$G52=4,'طیف فازی'!$B$5,'طیف فازی'!$B$6)))))</f>
        <v>0</v>
      </c>
      <c r="P52" s="18">
        <f>IF('امتیاز دهی خبرگان'!$G52=0,0,IF('امتیاز دهی خبرگان'!$G52=1,'طیف فازی'!$C$2,IF('امتیاز دهی خبرگان'!$G52=2,'طیف فازی'!$C$3,IF('امتیاز دهی خبرگان'!$G52=3,'طیف فازی'!$C$4,IF('امتیاز دهی خبرگان'!$G52=4,'طیف فازی'!$C$5,'طیف فازی'!$C$6)))))</f>
        <v>0.25</v>
      </c>
      <c r="Q52" s="19">
        <f>IF('امتیاز دهی خبرگان'!$G52=0,0,IF('امتیاز دهی خبرگان'!$G52=1,'طیف فازی'!$D$2,IF('امتیاز دهی خبرگان'!$G52=2,'طیف فازی'!$D$3,IF('امتیاز دهی خبرگان'!$G52=3,'طیف فازی'!$D$4,IF('امتیاز دهی خبرگان'!$G52=4,'طیف فازی'!$D$5,'طیف فازی'!$D$6)))))</f>
        <v>0.5</v>
      </c>
      <c r="R52" s="17">
        <f>IF('امتیاز دهی خبرگان'!$H52=0,0,IF('امتیاز دهی خبرگان'!$H52=1,'طیف فازی'!$B$2,IF('امتیاز دهی خبرگان'!$H52=2,'طیف فازی'!$B$3,IF('امتیاز دهی خبرگان'!$H52=3,'طیف فازی'!$B$4,IF('امتیاز دهی خبرگان'!$H52=4,'طیف فازی'!$B$5,'طیف فازی'!$B$6)))))</f>
        <v>0</v>
      </c>
      <c r="S52" s="18">
        <f>IF('امتیاز دهی خبرگان'!$H52=0,0,IF('امتیاز دهی خبرگان'!$H52=1,'طیف فازی'!$C$2,IF('امتیاز دهی خبرگان'!$H52=2,'طیف فازی'!$C$3,IF('امتیاز دهی خبرگان'!$H52=3,'طیف فازی'!$C$4,IF('امتیاز دهی خبرگان'!$H52=4,'طیف فازی'!$C$5,'طیف فازی'!$C$6)))))</f>
        <v>0.25</v>
      </c>
      <c r="T52" s="19">
        <f>IF('امتیاز دهی خبرگان'!$H52=0,0,IF('امتیاز دهی خبرگان'!$H52=1,'طیف فازی'!$D$2,IF('امتیاز دهی خبرگان'!$H52=2,'طیف فازی'!$D$3,IF('امتیاز دهی خبرگان'!$H52=3,'طیف فازی'!$D$4,IF('امتیاز دهی خبرگان'!$H52=4,'طیف فازی'!$D$5,'طیف فازی'!$D$6)))))</f>
        <v>0.5</v>
      </c>
      <c r="U52" s="17">
        <f>IF('امتیاز دهی خبرگان'!$I52=0,0,IF('امتیاز دهی خبرگان'!$I52=1,'طیف فازی'!$B$2,IF('امتیاز دهی خبرگان'!$I52=2,'طیف فازی'!$B$3,IF('امتیاز دهی خبرگان'!$I52=3,'طیف فازی'!$B$4,IF('امتیاز دهی خبرگان'!$I52=4,'طیف فازی'!$B$5,'طیف فازی'!$B$6)))))</f>
        <v>0.75</v>
      </c>
      <c r="V52" s="18">
        <f>IF('امتیاز دهی خبرگان'!$I52=0,0,IF('امتیاز دهی خبرگان'!$I52=1,'طیف فازی'!$C$2,IF('امتیاز دهی خبرگان'!$I52=2,'طیف فازی'!$C$3,IF('امتیاز دهی خبرگان'!$I52=3,'طیف فازی'!$C$4,IF('امتیاز دهی خبرگان'!$I52=4,'طیف فازی'!$C$5,'طیف فازی'!$C$6)))))</f>
        <v>1</v>
      </c>
      <c r="W52" s="19">
        <f>IF('امتیاز دهی خبرگان'!$I52=0,0,IF('امتیاز دهی خبرگان'!$I52=1,'طیف فازی'!$D$2,IF('امتیاز دهی خبرگان'!$I52=2,'طیف فازی'!$D$3,IF('امتیاز دهی خبرگان'!$I52=3,'طیف فازی'!$D$4,IF('امتیاز دهی خبرگان'!$I52=4,'طیف فازی'!$D$5,'طیف فازی'!$D$6)))))</f>
        <v>1</v>
      </c>
      <c r="X52" s="17">
        <f>IF('امتیاز دهی خبرگان'!$J52=0,0,IF('امتیاز دهی خبرگان'!$J52=1,'طیف فازی'!$B$2,IF('امتیاز دهی خبرگان'!$J52=2,'طیف فازی'!$B$3,IF('امتیاز دهی خبرگان'!$J52=3,'طیف فازی'!$B$4,IF('امتیاز دهی خبرگان'!$J52=4,'طیف فازی'!$B$5,'طیف فازی'!$B$6)))))</f>
        <v>0.75</v>
      </c>
      <c r="Y52" s="18">
        <f>IF('امتیاز دهی خبرگان'!$J52=0,0,IF('امتیاز دهی خبرگان'!$J52=1,'طیف فازی'!$C$2,IF('امتیاز دهی خبرگان'!$J52=2,'طیف فازی'!$C$3,IF('امتیاز دهی خبرگان'!$J52=3,'طیف فازی'!$C$4,IF('امتیاز دهی خبرگان'!$J52=4,'طیف فازی'!$C$5,'طیف فازی'!$C$6)))))</f>
        <v>1</v>
      </c>
      <c r="Z52" s="19">
        <f>IF('امتیاز دهی خبرگان'!$J52=0,0,IF('امتیاز دهی خبرگان'!$J52=1,'طیف فازی'!$D$2,IF('امتیاز دهی خبرگان'!$J52=2,'طیف فازی'!$D$3,IF('امتیاز دهی خبرگان'!$J52=3,'طیف فازی'!$D$4,IF('امتیاز دهی خبرگان'!$J52=4,'طیف فازی'!$D$5,'طیف فازی'!$D$6)))))</f>
        <v>1</v>
      </c>
      <c r="AA52" s="17">
        <f>IF('امتیاز دهی خبرگان'!$K52=0,0,IF('امتیاز دهی خبرگان'!$K52=1,'طیف فازی'!$B$2,IF('امتیاز دهی خبرگان'!$K52=2,'طیف فازی'!$B$3,IF('امتیاز دهی خبرگان'!$K52=3,'طیف فازی'!$B$4,IF('امتیاز دهی خبرگان'!$K52=4,'طیف فازی'!$B$5,'طیف فازی'!$B$6)))))</f>
        <v>0.75</v>
      </c>
      <c r="AB52" s="18">
        <f>IF('امتیاز دهی خبرگان'!$K52=0,0,IF('امتیاز دهی خبرگان'!$K52=1,'طیف فازی'!$C$2,IF('امتیاز دهی خبرگان'!$K52=2,'طیف فازی'!$C$3,IF('امتیاز دهی خبرگان'!$K52=3,'طیف فازی'!$C$4,IF('امتیاز دهی خبرگان'!$K52=4,'طیف فازی'!$C$5,'طیف فازی'!$C$6)))))</f>
        <v>1</v>
      </c>
      <c r="AC52" s="19">
        <f>IF('امتیاز دهی خبرگان'!$K52=0,0,IF('امتیاز دهی خبرگان'!$K52=1,'طیف فازی'!$D$2,IF('امتیاز دهی خبرگان'!$K52=2,'طیف فازی'!$D$3,IF('امتیاز دهی خبرگان'!$K52=3,'طیف فازی'!$D$4,IF('امتیاز دهی خبرگان'!$K52=4,'طیف فازی'!$D$5,'طیف فازی'!$D$6)))))</f>
        <v>1</v>
      </c>
      <c r="AD52" s="17">
        <f>IF('امتیاز دهی خبرگان'!$L52=0,0,IF('امتیاز دهی خبرگان'!$L52=1,'طیف فازی'!$B$2,IF('امتیاز دهی خبرگان'!$L52=2,'طیف فازی'!$B$3,IF('امتیاز دهی خبرگان'!$L52=3,'طیف فازی'!$B$4,IF('امتیاز دهی خبرگان'!$L52=4,'طیف فازی'!$B$5,'طیف فازی'!$B$6)))))</f>
        <v>0.75</v>
      </c>
      <c r="AE52" s="18">
        <f>IF('امتیاز دهی خبرگان'!$L52=0,0,IF('امتیاز دهی خبرگان'!$L52=1,'طیف فازی'!$C$2,IF('امتیاز دهی خبرگان'!$L52=2,'طیف فازی'!$C$3,IF('امتیاز دهی خبرگان'!$L52=3,'طیف فازی'!$C$4,IF('امتیاز دهی خبرگان'!$L52=4,'طیف فازی'!$C$5,'طیف فازی'!$C$6)))))</f>
        <v>1</v>
      </c>
      <c r="AF52" s="19">
        <f>IF('امتیاز دهی خبرگان'!$L52=0,0,IF('امتیاز دهی خبرگان'!$L52=1,'طیف فازی'!$D$2,IF('امتیاز دهی خبرگان'!$L52=2,'طیف فازی'!$D$3,IF('امتیاز دهی خبرگان'!$L52=3,'طیف فازی'!$D$4,IF('امتیاز دهی خبرگان'!$L52=4,'طیف فازی'!$D$5,'طیف فازی'!$D$6)))))</f>
        <v>1</v>
      </c>
      <c r="AG52" s="17">
        <f>IF('امتیاز دهی خبرگان'!$M52=0,0,IF('امتیاز دهی خبرگان'!$M52=1,'طیف فازی'!$B$2,IF('امتیاز دهی خبرگان'!$M52=2,'طیف فازی'!$B$3,IF('امتیاز دهی خبرگان'!$M52=3,'طیف فازی'!$B$4,IF('امتیاز دهی خبرگان'!$M52=4,'طیف فازی'!$B$5,'طیف فازی'!$B$6)))))</f>
        <v>0.5</v>
      </c>
      <c r="AH52" s="18">
        <f>IF('امتیاز دهی خبرگان'!$M52=0,0,IF('امتیاز دهی خبرگان'!$M52=1,'طیف فازی'!$C$2,IF('امتیاز دهی خبرگان'!$M52=2,'طیف فازی'!$C$3,IF('امتیاز دهی خبرگان'!$M52=3,'طیف فازی'!$C$4,IF('امتیاز دهی خبرگان'!$M52=4,'طیف فازی'!$C$5,'طیف فازی'!$C$6)))))</f>
        <v>0.75</v>
      </c>
      <c r="AI52" s="19">
        <f>IF('امتیاز دهی خبرگان'!$M52=0,0,IF('امتیاز دهی خبرگان'!$M52=1,'طیف فازی'!$D$2,IF('امتیاز دهی خبرگان'!$M52=2,'طیف فازی'!$D$3,IF('امتیاز دهی خبرگان'!$M52=3,'طیف فازی'!$D$4,IF('امتیاز دهی خبرگان'!$M52=4,'طیف فازی'!$D$5,'طیف فازی'!$D$6)))))</f>
        <v>1</v>
      </c>
      <c r="AJ52" s="17">
        <f>IF('امتیاز دهی خبرگان'!$N52=0,0,IF('امتیاز دهی خبرگان'!$N52=1,'طیف فازی'!$B$2,IF('امتیاز دهی خبرگان'!$N52=2,'طیف فازی'!$B$3,IF('امتیاز دهی خبرگان'!$N52=3,'طیف فازی'!$B$4,IF('امتیاز دهی خبرگان'!$N52=4,'طیف فازی'!$B$5,'طیف فازی'!$B$6)))))</f>
        <v>0.75</v>
      </c>
      <c r="AK52" s="18">
        <f>IF('امتیاز دهی خبرگان'!$N52=0,0,IF('امتیاز دهی خبرگان'!$N52=1,'طیف فازی'!$C$2,IF('امتیاز دهی خبرگان'!$N52=2,'طیف فازی'!$C$3,IF('امتیاز دهی خبرگان'!$N52=3,'طیف فازی'!$C$4,IF('امتیاز دهی خبرگان'!$N52=4,'طیف فازی'!$C$5,'طیف فازی'!$C$6)))))</f>
        <v>1</v>
      </c>
      <c r="AL52" s="19">
        <f>IF('امتیاز دهی خبرگان'!$N52=0,0,IF('امتیاز دهی خبرگان'!$N52=1,'طیف فازی'!$D$2,IF('امتیاز دهی خبرگان'!$N52=2,'طیف فازی'!$D$3,IF('امتیاز دهی خبرگان'!$N52=3,'طیف فازی'!$D$4,IF('امتیاز دهی خبرگان'!$N52=4,'طیف فازی'!$D$5,'طیف فازی'!$D$6)))))</f>
        <v>1</v>
      </c>
      <c r="AM52" s="23">
        <f t="shared" si="1"/>
        <v>6.5</v>
      </c>
      <c r="AN52" s="23">
        <f t="shared" si="2"/>
        <v>9.5</v>
      </c>
      <c r="AO52" s="24">
        <f t="shared" si="3"/>
        <v>10.75</v>
      </c>
      <c r="AP52" s="25">
        <f t="shared" si="4"/>
        <v>0.54166666666666663</v>
      </c>
      <c r="AQ52" s="23">
        <f t="shared" si="5"/>
        <v>0.79166666666666663</v>
      </c>
      <c r="AR52" s="24">
        <f t="shared" si="6"/>
        <v>0.89583333333333337</v>
      </c>
      <c r="AS52" s="24">
        <f t="shared" si="7"/>
        <v>0.74305555555555547</v>
      </c>
      <c r="AT52" s="24" t="str">
        <f t="shared" si="8"/>
        <v>Pass</v>
      </c>
    </row>
    <row r="53" spans="2:46" ht="23.25" customHeight="1" thickBot="1" x14ac:dyDescent="0.85">
      <c r="B53" s="2">
        <v>51</v>
      </c>
      <c r="C53" s="17">
        <f>IF('امتیاز دهی خبرگان'!$C53=0,0,IF('امتیاز دهی خبرگان'!$C53=1,'طیف فازی'!$B$2,IF('امتیاز دهی خبرگان'!$C53=2,'طیف فازی'!$B$3,IF('امتیاز دهی خبرگان'!$C53=3,'طیف فازی'!$B$4,IF('امتیاز دهی خبرگان'!$C53=4,'طیف فازی'!$B$5,'طیف فازی'!$B$6)))))</f>
        <v>0.75</v>
      </c>
      <c r="D53" s="18">
        <f>IF('امتیاز دهی خبرگان'!$C53=0,0,IF('امتیاز دهی خبرگان'!$C53=1,'طیف فازی'!$C$2,IF('امتیاز دهی خبرگان'!$C53=2,'طیف فازی'!$C$3,IF('امتیاز دهی خبرگان'!$C53=3,'طیف فازی'!$C$4,IF('امتیاز دهی خبرگان'!$C53=4,'طیف فازی'!$C$5,'طیف فازی'!$C$6)))))</f>
        <v>1</v>
      </c>
      <c r="E53" s="19">
        <f>IF('امتیاز دهی خبرگان'!$C53=0,0,IF('امتیاز دهی خبرگان'!$C53=1,'طیف فازی'!$D$2,IF('امتیاز دهی خبرگان'!$C53=2,'طیف فازی'!$D$3,IF('امتیاز دهی خبرگان'!$C53=3,'طیف فازی'!$D$4,IF('امتیاز دهی خبرگان'!$C53=4,'طیف فازی'!$D$5,'طیف فازی'!$D$6)))))</f>
        <v>1</v>
      </c>
      <c r="F53" s="20">
        <f>IF('امتیاز دهی خبرگان'!$D53=0,0,IF('امتیاز دهی خبرگان'!$D53=1,'طیف فازی'!$B$2,IF('امتیاز دهی خبرگان'!$D53=2,'طیف فازی'!$B$3,IF('امتیاز دهی خبرگان'!$D53=3,'طیف فازی'!$B$4,IF('امتیاز دهی خبرگان'!$D53=4,'طیف فازی'!$B$5,'طیف فازی'!$B$6)))))</f>
        <v>0.75</v>
      </c>
      <c r="G53" s="21">
        <f>IF('امتیاز دهی خبرگان'!$D53=0,0,IF('امتیاز دهی خبرگان'!$D53=1,'طیف فازی'!$D$2,IF('امتیاز دهی خبرگان'!$D53=2,'طیف فازی'!$C$3,IF('امتیاز دهی خبرگان'!$D53=3,'طیف فازی'!$C$4,IF('امتیاز دهی خبرگان'!$D53=4,'طیف فازی'!$C$5,'طیف فازی'!$C$6)))))</f>
        <v>1</v>
      </c>
      <c r="H53" s="22">
        <f>IF('امتیاز دهی خبرگان'!$D53=0,0,IF('امتیاز دهی خبرگان'!$D53=1,'طیف فازی'!$D$2,IF('امتیاز دهی خبرگان'!$D53=2,'طیف فازی'!$D$3,IF('امتیاز دهی خبرگان'!$D53=3,'طیف فازی'!$D$4,IF('امتیاز دهی خبرگان'!$D53=4,'طیف فازی'!$D$5,'طیف فازی'!$D$6)))))</f>
        <v>1</v>
      </c>
      <c r="I53" s="17">
        <f>IF('امتیاز دهی خبرگان'!$E53=0,0,IF('امتیاز دهی خبرگان'!$E53=1,'طیف فازی'!$B$2,IF('امتیاز دهی خبرگان'!$E53=2,'طیف فازی'!$B$3,IF('امتیاز دهی خبرگان'!$E53=3,'طیف فازی'!$B$4,IF('امتیاز دهی خبرگان'!$E53=4,'طیف فازی'!$B$5,'طیف فازی'!$B$6)))))</f>
        <v>0.25</v>
      </c>
      <c r="J53" s="18">
        <f>IF('امتیاز دهی خبرگان'!$E53=0,0,IF('امتیاز دهی خبرگان'!$E53=1,'طیف فازی'!$C$2,IF('امتیاز دهی خبرگان'!$E53=2,'طیف فازی'!$C$3,IF('امتیاز دهی خبرگان'!$E53=3,'طیف فازی'!$C$4,IF('امتیاز دهی خبرگان'!$E53=4,'طیف فازی'!$C$5,'طیف فازی'!$C$6)))))</f>
        <v>0.5</v>
      </c>
      <c r="K53" s="19">
        <f>IF('امتیاز دهی خبرگان'!$E53=0,0,IF('امتیاز دهی خبرگان'!$E53=1,'طیف فازی'!$D$2,IF('امتیاز دهی خبرگان'!$E53=2,'طیف فازی'!$D$3,IF('امتیاز دهی خبرگان'!$E53=3,'طیف فازی'!$D$4,IF('امتیاز دهی خبرگان'!$E53=4,'طیف فازی'!$D$5,'طیف فازی'!$D$6)))))</f>
        <v>0.75</v>
      </c>
      <c r="L53" s="17">
        <f>IF('امتیاز دهی خبرگان'!$F53=0,0,IF('امتیاز دهی خبرگان'!$F53=1,'طیف فازی'!$B$2,IF('امتیاز دهی خبرگان'!$F53=2,'طیف فازی'!$B$3,IF('امتیاز دهی خبرگان'!$F53=3,'طیف فازی'!$B$4,IF('امتیاز دهی خبرگان'!$F53=4,'طیف فازی'!$B$5,'طیف فازی'!$B$6)))))</f>
        <v>0.75</v>
      </c>
      <c r="M53" s="18">
        <f>IF('امتیاز دهی خبرگان'!$F53=0,0,IF('امتیاز دهی خبرگان'!$F53=1,'طیف فازی'!$C$2,IF('امتیاز دهی خبرگان'!$F53=2,'طیف فازی'!$C$3,IF('امتیاز دهی خبرگان'!$F53=3,'طیف فازی'!$C$4,IF('امتیاز دهی خبرگان'!$F53=4,'طیف فازی'!$C$5,'طیف فازی'!$C$6)))))</f>
        <v>1</v>
      </c>
      <c r="N53" s="19">
        <f>IF('امتیاز دهی خبرگان'!$F53=0,0,IF('امتیاز دهی خبرگان'!$F53=1,'طیف فازی'!$D$2,IF('امتیاز دهی خبرگان'!$F53=2,'طیف فازی'!$D$3,IF('امتیاز دهی خبرگان'!$F53=3,'طیف فازی'!$D$4,IF('امتیاز دهی خبرگان'!$F53=4,'طیف فازی'!$D$5,'طیف فازی'!$D$6)))))</f>
        <v>1</v>
      </c>
      <c r="O53" s="17">
        <f>IF('امتیاز دهی خبرگان'!$G53=0,0,IF('امتیاز دهی خبرگان'!$G53=1,'طیف فازی'!$B$2,IF('امتیاز دهی خبرگان'!$G53=2,'طیف فازی'!$B$3,IF('امتیاز دهی خبرگان'!$G53=3,'طیف فازی'!$B$4,IF('امتیاز دهی خبرگان'!$G53=4,'طیف فازی'!$B$5,'طیف فازی'!$B$6)))))</f>
        <v>0</v>
      </c>
      <c r="P53" s="18">
        <f>IF('امتیاز دهی خبرگان'!$G53=0,0,IF('امتیاز دهی خبرگان'!$G53=1,'طیف فازی'!$C$2,IF('امتیاز دهی خبرگان'!$G53=2,'طیف فازی'!$C$3,IF('امتیاز دهی خبرگان'!$G53=3,'طیف فازی'!$C$4,IF('امتیاز دهی خبرگان'!$G53=4,'طیف فازی'!$C$5,'طیف فازی'!$C$6)))))</f>
        <v>0.25</v>
      </c>
      <c r="Q53" s="19">
        <f>IF('امتیاز دهی خبرگان'!$G53=0,0,IF('امتیاز دهی خبرگان'!$G53=1,'طیف فازی'!$D$2,IF('امتیاز دهی خبرگان'!$G53=2,'طیف فازی'!$D$3,IF('امتیاز دهی خبرگان'!$G53=3,'طیف فازی'!$D$4,IF('امتیاز دهی خبرگان'!$G53=4,'طیف فازی'!$D$5,'طیف فازی'!$D$6)))))</f>
        <v>0.5</v>
      </c>
      <c r="R53" s="17">
        <f>IF('امتیاز دهی خبرگان'!$H53=0,0,IF('امتیاز دهی خبرگان'!$H53=1,'طیف فازی'!$B$2,IF('امتیاز دهی خبرگان'!$H53=2,'طیف فازی'!$B$3,IF('امتیاز دهی خبرگان'!$H53=3,'طیف فازی'!$B$4,IF('امتیاز دهی خبرگان'!$H53=4,'طیف فازی'!$B$5,'طیف فازی'!$B$6)))))</f>
        <v>0.25</v>
      </c>
      <c r="S53" s="18">
        <f>IF('امتیاز دهی خبرگان'!$H53=0,0,IF('امتیاز دهی خبرگان'!$H53=1,'طیف فازی'!$C$2,IF('امتیاز دهی خبرگان'!$H53=2,'طیف فازی'!$C$3,IF('امتیاز دهی خبرگان'!$H53=3,'طیف فازی'!$C$4,IF('امتیاز دهی خبرگان'!$H53=4,'طیف فازی'!$C$5,'طیف فازی'!$C$6)))))</f>
        <v>0.5</v>
      </c>
      <c r="T53" s="19">
        <f>IF('امتیاز دهی خبرگان'!$H53=0,0,IF('امتیاز دهی خبرگان'!$H53=1,'طیف فازی'!$D$2,IF('امتیاز دهی خبرگان'!$H53=2,'طیف فازی'!$D$3,IF('امتیاز دهی خبرگان'!$H53=3,'طیف فازی'!$D$4,IF('امتیاز دهی خبرگان'!$H53=4,'طیف فازی'!$D$5,'طیف فازی'!$D$6)))))</f>
        <v>0.75</v>
      </c>
      <c r="U53" s="17">
        <f>IF('امتیاز دهی خبرگان'!$I53=0,0,IF('امتیاز دهی خبرگان'!$I53=1,'طیف فازی'!$B$2,IF('امتیاز دهی خبرگان'!$I53=2,'طیف فازی'!$B$3,IF('امتیاز دهی خبرگان'!$I53=3,'طیف فازی'!$B$4,IF('امتیاز دهی خبرگان'!$I53=4,'طیف فازی'!$B$5,'طیف فازی'!$B$6)))))</f>
        <v>0.75</v>
      </c>
      <c r="V53" s="18">
        <f>IF('امتیاز دهی خبرگان'!$I53=0,0,IF('امتیاز دهی خبرگان'!$I53=1,'طیف فازی'!$C$2,IF('امتیاز دهی خبرگان'!$I53=2,'طیف فازی'!$C$3,IF('امتیاز دهی خبرگان'!$I53=3,'طیف فازی'!$C$4,IF('امتیاز دهی خبرگان'!$I53=4,'طیف فازی'!$C$5,'طیف فازی'!$C$6)))))</f>
        <v>1</v>
      </c>
      <c r="W53" s="19">
        <f>IF('امتیاز دهی خبرگان'!$I53=0,0,IF('امتیاز دهی خبرگان'!$I53=1,'طیف فازی'!$D$2,IF('امتیاز دهی خبرگان'!$I53=2,'طیف فازی'!$D$3,IF('امتیاز دهی خبرگان'!$I53=3,'طیف فازی'!$D$4,IF('امتیاز دهی خبرگان'!$I53=4,'طیف فازی'!$D$5,'طیف فازی'!$D$6)))))</f>
        <v>1</v>
      </c>
      <c r="X53" s="17">
        <f>IF('امتیاز دهی خبرگان'!$J53=0,0,IF('امتیاز دهی خبرگان'!$J53=1,'طیف فازی'!$B$2,IF('امتیاز دهی خبرگان'!$J53=2,'طیف فازی'!$B$3,IF('امتیاز دهی خبرگان'!$J53=3,'طیف فازی'!$B$4,IF('امتیاز دهی خبرگان'!$J53=4,'طیف فازی'!$B$5,'طیف فازی'!$B$6)))))</f>
        <v>0.5</v>
      </c>
      <c r="Y53" s="18">
        <f>IF('امتیاز دهی خبرگان'!$J53=0,0,IF('امتیاز دهی خبرگان'!$J53=1,'طیف فازی'!$C$2,IF('امتیاز دهی خبرگان'!$J53=2,'طیف فازی'!$C$3,IF('امتیاز دهی خبرگان'!$J53=3,'طیف فازی'!$C$4,IF('امتیاز دهی خبرگان'!$J53=4,'طیف فازی'!$C$5,'طیف فازی'!$C$6)))))</f>
        <v>0.75</v>
      </c>
      <c r="Z53" s="19">
        <f>IF('امتیاز دهی خبرگان'!$J53=0,0,IF('امتیاز دهی خبرگان'!$J53=1,'طیف فازی'!$D$2,IF('امتیاز دهی خبرگان'!$J53=2,'طیف فازی'!$D$3,IF('امتیاز دهی خبرگان'!$J53=3,'طیف فازی'!$D$4,IF('امتیاز دهی خبرگان'!$J53=4,'طیف فازی'!$D$5,'طیف فازی'!$D$6)))))</f>
        <v>1</v>
      </c>
      <c r="AA53" s="17">
        <f>IF('امتیاز دهی خبرگان'!$K53=0,0,IF('امتیاز دهی خبرگان'!$K53=1,'طیف فازی'!$B$2,IF('امتیاز دهی خبرگان'!$K53=2,'طیف فازی'!$B$3,IF('امتیاز دهی خبرگان'!$K53=3,'طیف فازی'!$B$4,IF('امتیاز دهی خبرگان'!$K53=4,'طیف فازی'!$B$5,'طیف فازی'!$B$6)))))</f>
        <v>0.75</v>
      </c>
      <c r="AB53" s="18">
        <f>IF('امتیاز دهی خبرگان'!$K53=0,0,IF('امتیاز دهی خبرگان'!$K53=1,'طیف فازی'!$C$2,IF('امتیاز دهی خبرگان'!$K53=2,'طیف فازی'!$C$3,IF('امتیاز دهی خبرگان'!$K53=3,'طیف فازی'!$C$4,IF('امتیاز دهی خبرگان'!$K53=4,'طیف فازی'!$C$5,'طیف فازی'!$C$6)))))</f>
        <v>1</v>
      </c>
      <c r="AC53" s="19">
        <f>IF('امتیاز دهی خبرگان'!$K53=0,0,IF('امتیاز دهی خبرگان'!$K53=1,'طیف فازی'!$D$2,IF('امتیاز دهی خبرگان'!$K53=2,'طیف فازی'!$D$3,IF('امتیاز دهی خبرگان'!$K53=3,'طیف فازی'!$D$4,IF('امتیاز دهی خبرگان'!$K53=4,'طیف فازی'!$D$5,'طیف فازی'!$D$6)))))</f>
        <v>1</v>
      </c>
      <c r="AD53" s="17">
        <f>IF('امتیاز دهی خبرگان'!$L53=0,0,IF('امتیاز دهی خبرگان'!$L53=1,'طیف فازی'!$B$2,IF('امتیاز دهی خبرگان'!$L53=2,'طیف فازی'!$B$3,IF('امتیاز دهی خبرگان'!$L53=3,'طیف فازی'!$B$4,IF('امتیاز دهی خبرگان'!$L53=4,'طیف فازی'!$B$5,'طیف فازی'!$B$6)))))</f>
        <v>0.75</v>
      </c>
      <c r="AE53" s="18">
        <f>IF('امتیاز دهی خبرگان'!$L53=0,0,IF('امتیاز دهی خبرگان'!$L53=1,'طیف فازی'!$C$2,IF('امتیاز دهی خبرگان'!$L53=2,'طیف فازی'!$C$3,IF('امتیاز دهی خبرگان'!$L53=3,'طیف فازی'!$C$4,IF('امتیاز دهی خبرگان'!$L53=4,'طیف فازی'!$C$5,'طیف فازی'!$C$6)))))</f>
        <v>1</v>
      </c>
      <c r="AF53" s="19">
        <f>IF('امتیاز دهی خبرگان'!$L53=0,0,IF('امتیاز دهی خبرگان'!$L53=1,'طیف فازی'!$D$2,IF('امتیاز دهی خبرگان'!$L53=2,'طیف فازی'!$D$3,IF('امتیاز دهی خبرگان'!$L53=3,'طیف فازی'!$D$4,IF('امتیاز دهی خبرگان'!$L53=4,'طیف فازی'!$D$5,'طیف فازی'!$D$6)))))</f>
        <v>1</v>
      </c>
      <c r="AG53" s="17">
        <f>IF('امتیاز دهی خبرگان'!$M53=0,0,IF('امتیاز دهی خبرگان'!$M53=1,'طیف فازی'!$B$2,IF('امتیاز دهی خبرگان'!$M53=2,'طیف فازی'!$B$3,IF('امتیاز دهی خبرگان'!$M53=3,'طیف فازی'!$B$4,IF('امتیاز دهی خبرگان'!$M53=4,'طیف فازی'!$B$5,'طیف فازی'!$B$6)))))</f>
        <v>0.5</v>
      </c>
      <c r="AH53" s="18">
        <f>IF('امتیاز دهی خبرگان'!$M53=0,0,IF('امتیاز دهی خبرگان'!$M53=1,'طیف فازی'!$C$2,IF('امتیاز دهی خبرگان'!$M53=2,'طیف فازی'!$C$3,IF('امتیاز دهی خبرگان'!$M53=3,'طیف فازی'!$C$4,IF('امتیاز دهی خبرگان'!$M53=4,'طیف فازی'!$C$5,'طیف فازی'!$C$6)))))</f>
        <v>0.75</v>
      </c>
      <c r="AI53" s="19">
        <f>IF('امتیاز دهی خبرگان'!$M53=0,0,IF('امتیاز دهی خبرگان'!$M53=1,'طیف فازی'!$D$2,IF('امتیاز دهی خبرگان'!$M53=2,'طیف فازی'!$D$3,IF('امتیاز دهی خبرگان'!$M53=3,'طیف فازی'!$D$4,IF('امتیاز دهی خبرگان'!$M53=4,'طیف فازی'!$D$5,'طیف فازی'!$D$6)))))</f>
        <v>1</v>
      </c>
      <c r="AJ53" s="17">
        <f>IF('امتیاز دهی خبرگان'!$N53=0,0,IF('امتیاز دهی خبرگان'!$N53=1,'طیف فازی'!$B$2,IF('امتیاز دهی خبرگان'!$N53=2,'طیف فازی'!$B$3,IF('امتیاز دهی خبرگان'!$N53=3,'طیف فازی'!$B$4,IF('امتیاز دهی خبرگان'!$N53=4,'طیف فازی'!$B$5,'طیف فازی'!$B$6)))))</f>
        <v>0.75</v>
      </c>
      <c r="AK53" s="18">
        <f>IF('امتیاز دهی خبرگان'!$N53=0,0,IF('امتیاز دهی خبرگان'!$N53=1,'طیف فازی'!$C$2,IF('امتیاز دهی خبرگان'!$N53=2,'طیف فازی'!$C$3,IF('امتیاز دهی خبرگان'!$N53=3,'طیف فازی'!$C$4,IF('امتیاز دهی خبرگان'!$N53=4,'طیف فازی'!$C$5,'طیف فازی'!$C$6)))))</f>
        <v>1</v>
      </c>
      <c r="AL53" s="19">
        <f>IF('امتیاز دهی خبرگان'!$N53=0,0,IF('امتیاز دهی خبرگان'!$N53=1,'طیف فازی'!$D$2,IF('امتیاز دهی خبرگان'!$N53=2,'طیف فازی'!$D$3,IF('امتیاز دهی خبرگان'!$N53=3,'طیف فازی'!$D$4,IF('امتیاز دهی خبرگان'!$N53=4,'طیف فازی'!$D$5,'طیف فازی'!$D$6)))))</f>
        <v>1</v>
      </c>
      <c r="AM53" s="23">
        <f t="shared" si="1"/>
        <v>6.75</v>
      </c>
      <c r="AN53" s="23">
        <f t="shared" si="2"/>
        <v>9.75</v>
      </c>
      <c r="AO53" s="24">
        <f t="shared" si="3"/>
        <v>11</v>
      </c>
      <c r="AP53" s="25">
        <f t="shared" si="4"/>
        <v>0.5625</v>
      </c>
      <c r="AQ53" s="23">
        <f t="shared" si="5"/>
        <v>0.8125</v>
      </c>
      <c r="AR53" s="24">
        <f t="shared" si="6"/>
        <v>0.91666666666666663</v>
      </c>
      <c r="AS53" s="24">
        <f t="shared" si="7"/>
        <v>0.76388888888888884</v>
      </c>
      <c r="AT53" s="24" t="str">
        <f t="shared" si="8"/>
        <v>Pass</v>
      </c>
    </row>
    <row r="54" spans="2:46" ht="23.25" customHeight="1" thickBot="1" x14ac:dyDescent="0.85">
      <c r="B54" s="2">
        <v>52</v>
      </c>
      <c r="C54" s="17">
        <f>IF('امتیاز دهی خبرگان'!$C54=0,0,IF('امتیاز دهی خبرگان'!$C54=1,'طیف فازی'!$B$2,IF('امتیاز دهی خبرگان'!$C54=2,'طیف فازی'!$B$3,IF('امتیاز دهی خبرگان'!$C54=3,'طیف فازی'!$B$4,IF('امتیاز دهی خبرگان'!$C54=4,'طیف فازی'!$B$5,'طیف فازی'!$B$6)))))</f>
        <v>0.75</v>
      </c>
      <c r="D54" s="18">
        <f>IF('امتیاز دهی خبرگان'!$C54=0,0,IF('امتیاز دهی خبرگان'!$C54=1,'طیف فازی'!$C$2,IF('امتیاز دهی خبرگان'!$C54=2,'طیف فازی'!$C$3,IF('امتیاز دهی خبرگان'!$C54=3,'طیف فازی'!$C$4,IF('امتیاز دهی خبرگان'!$C54=4,'طیف فازی'!$C$5,'طیف فازی'!$C$6)))))</f>
        <v>1</v>
      </c>
      <c r="E54" s="19">
        <f>IF('امتیاز دهی خبرگان'!$C54=0,0,IF('امتیاز دهی خبرگان'!$C54=1,'طیف فازی'!$D$2,IF('امتیاز دهی خبرگان'!$C54=2,'طیف فازی'!$D$3,IF('امتیاز دهی خبرگان'!$C54=3,'طیف فازی'!$D$4,IF('امتیاز دهی خبرگان'!$C54=4,'طیف فازی'!$D$5,'طیف فازی'!$D$6)))))</f>
        <v>1</v>
      </c>
      <c r="F54" s="20">
        <f>IF('امتیاز دهی خبرگان'!$D54=0,0,IF('امتیاز دهی خبرگان'!$D54=1,'طیف فازی'!$B$2,IF('امتیاز دهی خبرگان'!$D54=2,'طیف فازی'!$B$3,IF('امتیاز دهی خبرگان'!$D54=3,'طیف فازی'!$B$4,IF('امتیاز دهی خبرگان'!$D54=4,'طیف فازی'!$B$5,'طیف فازی'!$B$6)))))</f>
        <v>0.25</v>
      </c>
      <c r="G54" s="21">
        <f>IF('امتیاز دهی خبرگان'!$D54=0,0,IF('امتیاز دهی خبرگان'!$D54=1,'طیف فازی'!$D$2,IF('امتیاز دهی خبرگان'!$D54=2,'طیف فازی'!$C$3,IF('امتیاز دهی خبرگان'!$D54=3,'طیف فازی'!$C$4,IF('امتیاز دهی خبرگان'!$D54=4,'طیف فازی'!$C$5,'طیف فازی'!$C$6)))))</f>
        <v>0.5</v>
      </c>
      <c r="H54" s="22">
        <f>IF('امتیاز دهی خبرگان'!$D54=0,0,IF('امتیاز دهی خبرگان'!$D54=1,'طیف فازی'!$D$2,IF('امتیاز دهی خبرگان'!$D54=2,'طیف فازی'!$D$3,IF('امتیاز دهی خبرگان'!$D54=3,'طیف فازی'!$D$4,IF('امتیاز دهی خبرگان'!$D54=4,'طیف فازی'!$D$5,'طیف فازی'!$D$6)))))</f>
        <v>0.75</v>
      </c>
      <c r="I54" s="17">
        <f>IF('امتیاز دهی خبرگان'!$E54=0,0,IF('امتیاز دهی خبرگان'!$E54=1,'طیف فازی'!$B$2,IF('امتیاز دهی خبرگان'!$E54=2,'طیف فازی'!$B$3,IF('امتیاز دهی خبرگان'!$E54=3,'طیف فازی'!$B$4,IF('امتیاز دهی خبرگان'!$E54=4,'طیف فازی'!$B$5,'طیف فازی'!$B$6)))))</f>
        <v>0.75</v>
      </c>
      <c r="J54" s="18">
        <f>IF('امتیاز دهی خبرگان'!$E54=0,0,IF('امتیاز دهی خبرگان'!$E54=1,'طیف فازی'!$C$2,IF('امتیاز دهی خبرگان'!$E54=2,'طیف فازی'!$C$3,IF('امتیاز دهی خبرگان'!$E54=3,'طیف فازی'!$C$4,IF('امتیاز دهی خبرگان'!$E54=4,'طیف فازی'!$C$5,'طیف فازی'!$C$6)))))</f>
        <v>1</v>
      </c>
      <c r="K54" s="19">
        <f>IF('امتیاز دهی خبرگان'!$E54=0,0,IF('امتیاز دهی خبرگان'!$E54=1,'طیف فازی'!$D$2,IF('امتیاز دهی خبرگان'!$E54=2,'طیف فازی'!$D$3,IF('امتیاز دهی خبرگان'!$E54=3,'طیف فازی'!$D$4,IF('امتیاز دهی خبرگان'!$E54=4,'طیف فازی'!$D$5,'طیف فازی'!$D$6)))))</f>
        <v>1</v>
      </c>
      <c r="L54" s="17">
        <f>IF('امتیاز دهی خبرگان'!$F54=0,0,IF('امتیاز دهی خبرگان'!$F54=1,'طیف فازی'!$B$2,IF('امتیاز دهی خبرگان'!$F54=2,'طیف فازی'!$B$3,IF('امتیاز دهی خبرگان'!$F54=3,'طیف فازی'!$B$4,IF('امتیاز دهی خبرگان'!$F54=4,'طیف فازی'!$B$5,'طیف فازی'!$B$6)))))</f>
        <v>0.75</v>
      </c>
      <c r="M54" s="18">
        <f>IF('امتیاز دهی خبرگان'!$F54=0,0,IF('امتیاز دهی خبرگان'!$F54=1,'طیف فازی'!$C$2,IF('امتیاز دهی خبرگان'!$F54=2,'طیف فازی'!$C$3,IF('امتیاز دهی خبرگان'!$F54=3,'طیف فازی'!$C$4,IF('امتیاز دهی خبرگان'!$F54=4,'طیف فازی'!$C$5,'طیف فازی'!$C$6)))))</f>
        <v>1</v>
      </c>
      <c r="N54" s="19">
        <f>IF('امتیاز دهی خبرگان'!$F54=0,0,IF('امتیاز دهی خبرگان'!$F54=1,'طیف فازی'!$D$2,IF('امتیاز دهی خبرگان'!$F54=2,'طیف فازی'!$D$3,IF('امتیاز دهی خبرگان'!$F54=3,'طیف فازی'!$D$4,IF('امتیاز دهی خبرگان'!$F54=4,'طیف فازی'!$D$5,'طیف فازی'!$D$6)))))</f>
        <v>1</v>
      </c>
      <c r="O54" s="17">
        <f>IF('امتیاز دهی خبرگان'!$G54=0,0,IF('امتیاز دهی خبرگان'!$G54=1,'طیف فازی'!$B$2,IF('امتیاز دهی خبرگان'!$G54=2,'طیف فازی'!$B$3,IF('امتیاز دهی خبرگان'!$G54=3,'طیف فازی'!$B$4,IF('امتیاز دهی خبرگان'!$G54=4,'طیف فازی'!$B$5,'طیف فازی'!$B$6)))))</f>
        <v>0</v>
      </c>
      <c r="P54" s="18">
        <f>IF('امتیاز دهی خبرگان'!$G54=0,0,IF('امتیاز دهی خبرگان'!$G54=1,'طیف فازی'!$C$2,IF('امتیاز دهی خبرگان'!$G54=2,'طیف فازی'!$C$3,IF('امتیاز دهی خبرگان'!$G54=3,'طیف فازی'!$C$4,IF('امتیاز دهی خبرگان'!$G54=4,'طیف فازی'!$C$5,'طیف فازی'!$C$6)))))</f>
        <v>0.25</v>
      </c>
      <c r="Q54" s="19">
        <f>IF('امتیاز دهی خبرگان'!$G54=0,0,IF('امتیاز دهی خبرگان'!$G54=1,'طیف فازی'!$D$2,IF('امتیاز دهی خبرگان'!$G54=2,'طیف فازی'!$D$3,IF('امتیاز دهی خبرگان'!$G54=3,'طیف فازی'!$D$4,IF('امتیاز دهی خبرگان'!$G54=4,'طیف فازی'!$D$5,'طیف فازی'!$D$6)))))</f>
        <v>0.5</v>
      </c>
      <c r="R54" s="17">
        <f>IF('امتیاز دهی خبرگان'!$H54=0,0,IF('امتیاز دهی خبرگان'!$H54=1,'طیف فازی'!$B$2,IF('امتیاز دهی خبرگان'!$H54=2,'طیف فازی'!$B$3,IF('امتیاز دهی خبرگان'!$H54=3,'طیف فازی'!$B$4,IF('امتیاز دهی خبرگان'!$H54=4,'طیف فازی'!$B$5,'طیف فازی'!$B$6)))))</f>
        <v>0</v>
      </c>
      <c r="S54" s="18">
        <f>IF('امتیاز دهی خبرگان'!$H54=0,0,IF('امتیاز دهی خبرگان'!$H54=1,'طیف فازی'!$C$2,IF('امتیاز دهی خبرگان'!$H54=2,'طیف فازی'!$C$3,IF('امتیاز دهی خبرگان'!$H54=3,'طیف فازی'!$C$4,IF('امتیاز دهی خبرگان'!$H54=4,'طیف فازی'!$C$5,'طیف فازی'!$C$6)))))</f>
        <v>0.25</v>
      </c>
      <c r="T54" s="19">
        <f>IF('امتیاز دهی خبرگان'!$H54=0,0,IF('امتیاز دهی خبرگان'!$H54=1,'طیف فازی'!$D$2,IF('امتیاز دهی خبرگان'!$H54=2,'طیف فازی'!$D$3,IF('امتیاز دهی خبرگان'!$H54=3,'طیف فازی'!$D$4,IF('امتیاز دهی خبرگان'!$H54=4,'طیف فازی'!$D$5,'طیف فازی'!$D$6)))))</f>
        <v>0.5</v>
      </c>
      <c r="U54" s="17">
        <f>IF('امتیاز دهی خبرگان'!$I54=0,0,IF('امتیاز دهی خبرگان'!$I54=1,'طیف فازی'!$B$2,IF('امتیاز دهی خبرگان'!$I54=2,'طیف فازی'!$B$3,IF('امتیاز دهی خبرگان'!$I54=3,'طیف فازی'!$B$4,IF('امتیاز دهی خبرگان'!$I54=4,'طیف فازی'!$B$5,'طیف فازی'!$B$6)))))</f>
        <v>0.5</v>
      </c>
      <c r="V54" s="18">
        <f>IF('امتیاز دهی خبرگان'!$I54=0,0,IF('امتیاز دهی خبرگان'!$I54=1,'طیف فازی'!$C$2,IF('امتیاز دهی خبرگان'!$I54=2,'طیف فازی'!$C$3,IF('امتیاز دهی خبرگان'!$I54=3,'طیف فازی'!$C$4,IF('امتیاز دهی خبرگان'!$I54=4,'طیف فازی'!$C$5,'طیف فازی'!$C$6)))))</f>
        <v>0.75</v>
      </c>
      <c r="W54" s="19">
        <f>IF('امتیاز دهی خبرگان'!$I54=0,0,IF('امتیاز دهی خبرگان'!$I54=1,'طیف فازی'!$D$2,IF('امتیاز دهی خبرگان'!$I54=2,'طیف فازی'!$D$3,IF('امتیاز دهی خبرگان'!$I54=3,'طیف فازی'!$D$4,IF('امتیاز دهی خبرگان'!$I54=4,'طیف فازی'!$D$5,'طیف فازی'!$D$6)))))</f>
        <v>1</v>
      </c>
      <c r="X54" s="17">
        <f>IF('امتیاز دهی خبرگان'!$J54=0,0,IF('امتیاز دهی خبرگان'!$J54=1,'طیف فازی'!$B$2,IF('امتیاز دهی خبرگان'!$J54=2,'طیف فازی'!$B$3,IF('امتیاز دهی خبرگان'!$J54=3,'طیف فازی'!$B$4,IF('امتیاز دهی خبرگان'!$J54=4,'طیف فازی'!$B$5,'طیف فازی'!$B$6)))))</f>
        <v>0.5</v>
      </c>
      <c r="Y54" s="18">
        <f>IF('امتیاز دهی خبرگان'!$J54=0,0,IF('امتیاز دهی خبرگان'!$J54=1,'طیف فازی'!$C$2,IF('امتیاز دهی خبرگان'!$J54=2,'طیف فازی'!$C$3,IF('امتیاز دهی خبرگان'!$J54=3,'طیف فازی'!$C$4,IF('امتیاز دهی خبرگان'!$J54=4,'طیف فازی'!$C$5,'طیف فازی'!$C$6)))))</f>
        <v>0.75</v>
      </c>
      <c r="Z54" s="19">
        <f>IF('امتیاز دهی خبرگان'!$J54=0,0,IF('امتیاز دهی خبرگان'!$J54=1,'طیف فازی'!$D$2,IF('امتیاز دهی خبرگان'!$J54=2,'طیف فازی'!$D$3,IF('امتیاز دهی خبرگان'!$J54=3,'طیف فازی'!$D$4,IF('امتیاز دهی خبرگان'!$J54=4,'طیف فازی'!$D$5,'طیف فازی'!$D$6)))))</f>
        <v>1</v>
      </c>
      <c r="AA54" s="17">
        <f>IF('امتیاز دهی خبرگان'!$K54=0,0,IF('امتیاز دهی خبرگان'!$K54=1,'طیف فازی'!$B$2,IF('امتیاز دهی خبرگان'!$K54=2,'طیف فازی'!$B$3,IF('امتیاز دهی خبرگان'!$K54=3,'طیف فازی'!$B$4,IF('امتیاز دهی خبرگان'!$K54=4,'طیف فازی'!$B$5,'طیف فازی'!$B$6)))))</f>
        <v>0</v>
      </c>
      <c r="AB54" s="18">
        <f>IF('امتیاز دهی خبرگان'!$K54=0,0,IF('امتیاز دهی خبرگان'!$K54=1,'طیف فازی'!$C$2,IF('امتیاز دهی خبرگان'!$K54=2,'طیف فازی'!$C$3,IF('امتیاز دهی خبرگان'!$K54=3,'طیف فازی'!$C$4,IF('امتیاز دهی خبرگان'!$K54=4,'طیف فازی'!$C$5,'طیف فازی'!$C$6)))))</f>
        <v>0.25</v>
      </c>
      <c r="AC54" s="19">
        <f>IF('امتیاز دهی خبرگان'!$K54=0,0,IF('امتیاز دهی خبرگان'!$K54=1,'طیف فازی'!$D$2,IF('امتیاز دهی خبرگان'!$K54=2,'طیف فازی'!$D$3,IF('امتیاز دهی خبرگان'!$K54=3,'طیف فازی'!$D$4,IF('امتیاز دهی خبرگان'!$K54=4,'طیف فازی'!$D$5,'طیف فازی'!$D$6)))))</f>
        <v>0.5</v>
      </c>
      <c r="AD54" s="17">
        <f>IF('امتیاز دهی خبرگان'!$L54=0,0,IF('امتیاز دهی خبرگان'!$L54=1,'طیف فازی'!$B$2,IF('امتیاز دهی خبرگان'!$L54=2,'طیف فازی'!$B$3,IF('امتیاز دهی خبرگان'!$L54=3,'طیف فازی'!$B$4,IF('امتیاز دهی خبرگان'!$L54=4,'طیف فازی'!$B$5,'طیف فازی'!$B$6)))))</f>
        <v>0</v>
      </c>
      <c r="AE54" s="18">
        <f>IF('امتیاز دهی خبرگان'!$L54=0,0,IF('امتیاز دهی خبرگان'!$L54=1,'طیف فازی'!$C$2,IF('امتیاز دهی خبرگان'!$L54=2,'طیف فازی'!$C$3,IF('امتیاز دهی خبرگان'!$L54=3,'طیف فازی'!$C$4,IF('امتیاز دهی خبرگان'!$L54=4,'طیف فازی'!$C$5,'طیف فازی'!$C$6)))))</f>
        <v>0.25</v>
      </c>
      <c r="AF54" s="19">
        <f>IF('امتیاز دهی خبرگان'!$L54=0,0,IF('امتیاز دهی خبرگان'!$L54=1,'طیف فازی'!$D$2,IF('امتیاز دهی خبرگان'!$L54=2,'طیف فازی'!$D$3,IF('امتیاز دهی خبرگان'!$L54=3,'طیف فازی'!$D$4,IF('امتیاز دهی خبرگان'!$L54=4,'طیف فازی'!$D$5,'طیف فازی'!$D$6)))))</f>
        <v>0.5</v>
      </c>
      <c r="AG54" s="17">
        <f>IF('امتیاز دهی خبرگان'!$M54=0,0,IF('امتیاز دهی خبرگان'!$M54=1,'طیف فازی'!$B$2,IF('امتیاز دهی خبرگان'!$M54=2,'طیف فازی'!$B$3,IF('امتیاز دهی خبرگان'!$M54=3,'طیف فازی'!$B$4,IF('امتیاز دهی خبرگان'!$M54=4,'طیف فازی'!$B$5,'طیف فازی'!$B$6)))))</f>
        <v>0.25</v>
      </c>
      <c r="AH54" s="18">
        <f>IF('امتیاز دهی خبرگان'!$M54=0,0,IF('امتیاز دهی خبرگان'!$M54=1,'طیف فازی'!$C$2,IF('امتیاز دهی خبرگان'!$M54=2,'طیف فازی'!$C$3,IF('امتیاز دهی خبرگان'!$M54=3,'طیف فازی'!$C$4,IF('امتیاز دهی خبرگان'!$M54=4,'طیف فازی'!$C$5,'طیف فازی'!$C$6)))))</f>
        <v>0.5</v>
      </c>
      <c r="AI54" s="19">
        <f>IF('امتیاز دهی خبرگان'!$M54=0,0,IF('امتیاز دهی خبرگان'!$M54=1,'طیف فازی'!$D$2,IF('امتیاز دهی خبرگان'!$M54=2,'طیف فازی'!$D$3,IF('امتیاز دهی خبرگان'!$M54=3,'طیف فازی'!$D$4,IF('امتیاز دهی خبرگان'!$M54=4,'طیف فازی'!$D$5,'طیف فازی'!$D$6)))))</f>
        <v>0.75</v>
      </c>
      <c r="AJ54" s="17">
        <f>IF('امتیاز دهی خبرگان'!$N54=0,0,IF('امتیاز دهی خبرگان'!$N54=1,'طیف فازی'!$B$2,IF('امتیاز دهی خبرگان'!$N54=2,'طیف فازی'!$B$3,IF('امتیاز دهی خبرگان'!$N54=3,'طیف فازی'!$B$4,IF('امتیاز دهی خبرگان'!$N54=4,'طیف فازی'!$B$5,'طیف فازی'!$B$6)))))</f>
        <v>0.5</v>
      </c>
      <c r="AK54" s="18">
        <f>IF('امتیاز دهی خبرگان'!$N54=0,0,IF('امتیاز دهی خبرگان'!$N54=1,'طیف فازی'!$C$2,IF('امتیاز دهی خبرگان'!$N54=2,'طیف فازی'!$C$3,IF('امتیاز دهی خبرگان'!$N54=3,'طیف فازی'!$C$4,IF('امتیاز دهی خبرگان'!$N54=4,'طیف فازی'!$C$5,'طیف فازی'!$C$6)))))</f>
        <v>0.75</v>
      </c>
      <c r="AL54" s="19">
        <f>IF('امتیاز دهی خبرگان'!$N54=0,0,IF('امتیاز دهی خبرگان'!$N54=1,'طیف فازی'!$D$2,IF('امتیاز دهی خبرگان'!$N54=2,'طیف فازی'!$D$3,IF('امتیاز دهی خبرگان'!$N54=3,'طیف فازی'!$D$4,IF('امتیاز دهی خبرگان'!$N54=4,'طیف فازی'!$D$5,'طیف فازی'!$D$6)))))</f>
        <v>1</v>
      </c>
      <c r="AM54" s="23">
        <f t="shared" si="1"/>
        <v>4.25</v>
      </c>
      <c r="AN54" s="23">
        <f t="shared" si="2"/>
        <v>7.25</v>
      </c>
      <c r="AO54" s="24">
        <f t="shared" si="3"/>
        <v>9.5</v>
      </c>
      <c r="AP54" s="25">
        <f t="shared" si="4"/>
        <v>0.35416666666666669</v>
      </c>
      <c r="AQ54" s="23">
        <f t="shared" si="5"/>
        <v>0.60416666666666663</v>
      </c>
      <c r="AR54" s="24">
        <f t="shared" si="6"/>
        <v>0.79166666666666663</v>
      </c>
      <c r="AS54" s="24">
        <f t="shared" si="7"/>
        <v>0.58333333333333337</v>
      </c>
      <c r="AT54" s="24" t="str">
        <f t="shared" si="8"/>
        <v>Not Pass</v>
      </c>
    </row>
    <row r="55" spans="2:46" ht="23.25" customHeight="1" thickBot="1" x14ac:dyDescent="0.85">
      <c r="B55" s="2">
        <v>53</v>
      </c>
      <c r="C55" s="17">
        <f>IF('امتیاز دهی خبرگان'!$C55=0,0,IF('امتیاز دهی خبرگان'!$C55=1,'طیف فازی'!$B$2,IF('امتیاز دهی خبرگان'!$C55=2,'طیف فازی'!$B$3,IF('امتیاز دهی خبرگان'!$C55=3,'طیف فازی'!$B$4,IF('امتیاز دهی خبرگان'!$C55=4,'طیف فازی'!$B$5,'طیف فازی'!$B$6)))))</f>
        <v>0.75</v>
      </c>
      <c r="D55" s="18">
        <f>IF('امتیاز دهی خبرگان'!$C55=0,0,IF('امتیاز دهی خبرگان'!$C55=1,'طیف فازی'!$C$2,IF('امتیاز دهی خبرگان'!$C55=2,'طیف فازی'!$C$3,IF('امتیاز دهی خبرگان'!$C55=3,'طیف فازی'!$C$4,IF('امتیاز دهی خبرگان'!$C55=4,'طیف فازی'!$C$5,'طیف فازی'!$C$6)))))</f>
        <v>1</v>
      </c>
      <c r="E55" s="19">
        <f>IF('امتیاز دهی خبرگان'!$C55=0,0,IF('امتیاز دهی خبرگان'!$C55=1,'طیف فازی'!$D$2,IF('امتیاز دهی خبرگان'!$C55=2,'طیف فازی'!$D$3,IF('امتیاز دهی خبرگان'!$C55=3,'طیف فازی'!$D$4,IF('امتیاز دهی خبرگان'!$C55=4,'طیف فازی'!$D$5,'طیف فازی'!$D$6)))))</f>
        <v>1</v>
      </c>
      <c r="F55" s="20">
        <f>IF('امتیاز دهی خبرگان'!$D55=0,0,IF('امتیاز دهی خبرگان'!$D55=1,'طیف فازی'!$B$2,IF('امتیاز دهی خبرگان'!$D55=2,'طیف فازی'!$B$3,IF('امتیاز دهی خبرگان'!$D55=3,'طیف فازی'!$B$4,IF('امتیاز دهی خبرگان'!$D55=4,'طیف فازی'!$B$5,'طیف فازی'!$B$6)))))</f>
        <v>0.5</v>
      </c>
      <c r="G55" s="21">
        <f>IF('امتیاز دهی خبرگان'!$D55=0,0,IF('امتیاز دهی خبرگان'!$D55=1,'طیف فازی'!$D$2,IF('امتیاز دهی خبرگان'!$D55=2,'طیف فازی'!$C$3,IF('امتیاز دهی خبرگان'!$D55=3,'طیف فازی'!$C$4,IF('امتیاز دهی خبرگان'!$D55=4,'طیف فازی'!$C$5,'طیف فازی'!$C$6)))))</f>
        <v>0.75</v>
      </c>
      <c r="H55" s="22">
        <f>IF('امتیاز دهی خبرگان'!$D55=0,0,IF('امتیاز دهی خبرگان'!$D55=1,'طیف فازی'!$D$2,IF('امتیاز دهی خبرگان'!$D55=2,'طیف فازی'!$D$3,IF('امتیاز دهی خبرگان'!$D55=3,'طیف فازی'!$D$4,IF('امتیاز دهی خبرگان'!$D55=4,'طیف فازی'!$D$5,'طیف فازی'!$D$6)))))</f>
        <v>1</v>
      </c>
      <c r="I55" s="17">
        <f>IF('امتیاز دهی خبرگان'!$E55=0,0,IF('امتیاز دهی خبرگان'!$E55=1,'طیف فازی'!$B$2,IF('امتیاز دهی خبرگان'!$E55=2,'طیف فازی'!$B$3,IF('امتیاز دهی خبرگان'!$E55=3,'طیف فازی'!$B$4,IF('امتیاز دهی خبرگان'!$E55=4,'طیف فازی'!$B$5,'طیف فازی'!$B$6)))))</f>
        <v>0.5</v>
      </c>
      <c r="J55" s="18">
        <f>IF('امتیاز دهی خبرگان'!$E55=0,0,IF('امتیاز دهی خبرگان'!$E55=1,'طیف فازی'!$C$2,IF('امتیاز دهی خبرگان'!$E55=2,'طیف فازی'!$C$3,IF('امتیاز دهی خبرگان'!$E55=3,'طیف فازی'!$C$4,IF('امتیاز دهی خبرگان'!$E55=4,'طیف فازی'!$C$5,'طیف فازی'!$C$6)))))</f>
        <v>0.75</v>
      </c>
      <c r="K55" s="19">
        <f>IF('امتیاز دهی خبرگان'!$E55=0,0,IF('امتیاز دهی خبرگان'!$E55=1,'طیف فازی'!$D$2,IF('امتیاز دهی خبرگان'!$E55=2,'طیف فازی'!$D$3,IF('امتیاز دهی خبرگان'!$E55=3,'طیف فازی'!$D$4,IF('امتیاز دهی خبرگان'!$E55=4,'طیف فازی'!$D$5,'طیف فازی'!$D$6)))))</f>
        <v>1</v>
      </c>
      <c r="L55" s="17">
        <f>IF('امتیاز دهی خبرگان'!$F55=0,0,IF('امتیاز دهی خبرگان'!$F55=1,'طیف فازی'!$B$2,IF('امتیاز دهی خبرگان'!$F55=2,'طیف فازی'!$B$3,IF('امتیاز دهی خبرگان'!$F55=3,'طیف فازی'!$B$4,IF('امتیاز دهی خبرگان'!$F55=4,'طیف فازی'!$B$5,'طیف فازی'!$B$6)))))</f>
        <v>0.75</v>
      </c>
      <c r="M55" s="18">
        <f>IF('امتیاز دهی خبرگان'!$F55=0,0,IF('امتیاز دهی خبرگان'!$F55=1,'طیف فازی'!$C$2,IF('امتیاز دهی خبرگان'!$F55=2,'طیف فازی'!$C$3,IF('امتیاز دهی خبرگان'!$F55=3,'طیف فازی'!$C$4,IF('امتیاز دهی خبرگان'!$F55=4,'طیف فازی'!$C$5,'طیف فازی'!$C$6)))))</f>
        <v>1</v>
      </c>
      <c r="N55" s="19">
        <f>IF('امتیاز دهی خبرگان'!$F55=0,0,IF('امتیاز دهی خبرگان'!$F55=1,'طیف فازی'!$D$2,IF('امتیاز دهی خبرگان'!$F55=2,'طیف فازی'!$D$3,IF('امتیاز دهی خبرگان'!$F55=3,'طیف فازی'!$D$4,IF('امتیاز دهی خبرگان'!$F55=4,'طیف فازی'!$D$5,'طیف فازی'!$D$6)))))</f>
        <v>1</v>
      </c>
      <c r="O55" s="17">
        <f>IF('امتیاز دهی خبرگان'!$G55=0,0,IF('امتیاز دهی خبرگان'!$G55=1,'طیف فازی'!$B$2,IF('امتیاز دهی خبرگان'!$G55=2,'طیف فازی'!$B$3,IF('امتیاز دهی خبرگان'!$G55=3,'طیف فازی'!$B$4,IF('امتیاز دهی خبرگان'!$G55=4,'طیف فازی'!$B$5,'طیف فازی'!$B$6)))))</f>
        <v>0</v>
      </c>
      <c r="P55" s="18">
        <f>IF('امتیاز دهی خبرگان'!$G55=0,0,IF('امتیاز دهی خبرگان'!$G55=1,'طیف فازی'!$C$2,IF('امتیاز دهی خبرگان'!$G55=2,'طیف فازی'!$C$3,IF('امتیاز دهی خبرگان'!$G55=3,'طیف فازی'!$C$4,IF('امتیاز دهی خبرگان'!$G55=4,'طیف فازی'!$C$5,'طیف فازی'!$C$6)))))</f>
        <v>0.25</v>
      </c>
      <c r="Q55" s="19">
        <f>IF('امتیاز دهی خبرگان'!$G55=0,0,IF('امتیاز دهی خبرگان'!$G55=1,'طیف فازی'!$D$2,IF('امتیاز دهی خبرگان'!$G55=2,'طیف فازی'!$D$3,IF('امتیاز دهی خبرگان'!$G55=3,'طیف فازی'!$D$4,IF('امتیاز دهی خبرگان'!$G55=4,'طیف فازی'!$D$5,'طیف فازی'!$D$6)))))</f>
        <v>0.5</v>
      </c>
      <c r="R55" s="17">
        <f>IF('امتیاز دهی خبرگان'!$H55=0,0,IF('امتیاز دهی خبرگان'!$H55=1,'طیف فازی'!$B$2,IF('امتیاز دهی خبرگان'!$H55=2,'طیف فازی'!$B$3,IF('امتیاز دهی خبرگان'!$H55=3,'طیف فازی'!$B$4,IF('امتیاز دهی خبرگان'!$H55=4,'طیف فازی'!$B$5,'طیف فازی'!$B$6)))))</f>
        <v>0.25</v>
      </c>
      <c r="S55" s="18">
        <f>IF('امتیاز دهی خبرگان'!$H55=0,0,IF('امتیاز دهی خبرگان'!$H55=1,'طیف فازی'!$C$2,IF('امتیاز دهی خبرگان'!$H55=2,'طیف فازی'!$C$3,IF('امتیاز دهی خبرگان'!$H55=3,'طیف فازی'!$C$4,IF('امتیاز دهی خبرگان'!$H55=4,'طیف فازی'!$C$5,'طیف فازی'!$C$6)))))</f>
        <v>0.5</v>
      </c>
      <c r="T55" s="19">
        <f>IF('امتیاز دهی خبرگان'!$H55=0,0,IF('امتیاز دهی خبرگان'!$H55=1,'طیف فازی'!$D$2,IF('امتیاز دهی خبرگان'!$H55=2,'طیف فازی'!$D$3,IF('امتیاز دهی خبرگان'!$H55=3,'طیف فازی'!$D$4,IF('امتیاز دهی خبرگان'!$H55=4,'طیف فازی'!$D$5,'طیف فازی'!$D$6)))))</f>
        <v>0.75</v>
      </c>
      <c r="U55" s="17">
        <f>IF('امتیاز دهی خبرگان'!$I55=0,0,IF('امتیاز دهی خبرگان'!$I55=1,'طیف فازی'!$B$2,IF('امتیاز دهی خبرگان'!$I55=2,'طیف فازی'!$B$3,IF('امتیاز دهی خبرگان'!$I55=3,'طیف فازی'!$B$4,IF('امتیاز دهی خبرگان'!$I55=4,'طیف فازی'!$B$5,'طیف فازی'!$B$6)))))</f>
        <v>0.75</v>
      </c>
      <c r="V55" s="18">
        <f>IF('امتیاز دهی خبرگان'!$I55=0,0,IF('امتیاز دهی خبرگان'!$I55=1,'طیف فازی'!$C$2,IF('امتیاز دهی خبرگان'!$I55=2,'طیف فازی'!$C$3,IF('امتیاز دهی خبرگان'!$I55=3,'طیف فازی'!$C$4,IF('امتیاز دهی خبرگان'!$I55=4,'طیف فازی'!$C$5,'طیف فازی'!$C$6)))))</f>
        <v>1</v>
      </c>
      <c r="W55" s="19">
        <f>IF('امتیاز دهی خبرگان'!$I55=0,0,IF('امتیاز دهی خبرگان'!$I55=1,'طیف فازی'!$D$2,IF('امتیاز دهی خبرگان'!$I55=2,'طیف فازی'!$D$3,IF('امتیاز دهی خبرگان'!$I55=3,'طیف فازی'!$D$4,IF('امتیاز دهی خبرگان'!$I55=4,'طیف فازی'!$D$5,'طیف فازی'!$D$6)))))</f>
        <v>1</v>
      </c>
      <c r="X55" s="17">
        <f>IF('امتیاز دهی خبرگان'!$J55=0,0,IF('امتیاز دهی خبرگان'!$J55=1,'طیف فازی'!$B$2,IF('امتیاز دهی خبرگان'!$J55=2,'طیف فازی'!$B$3,IF('امتیاز دهی خبرگان'!$J55=3,'طیف فازی'!$B$4,IF('امتیاز دهی خبرگان'!$J55=4,'طیف فازی'!$B$5,'طیف فازی'!$B$6)))))</f>
        <v>0.5</v>
      </c>
      <c r="Y55" s="18">
        <f>IF('امتیاز دهی خبرگان'!$J55=0,0,IF('امتیاز دهی خبرگان'!$J55=1,'طیف فازی'!$C$2,IF('امتیاز دهی خبرگان'!$J55=2,'طیف فازی'!$C$3,IF('امتیاز دهی خبرگان'!$J55=3,'طیف فازی'!$C$4,IF('امتیاز دهی خبرگان'!$J55=4,'طیف فازی'!$C$5,'طیف فازی'!$C$6)))))</f>
        <v>0.75</v>
      </c>
      <c r="Z55" s="19">
        <f>IF('امتیاز دهی خبرگان'!$J55=0,0,IF('امتیاز دهی خبرگان'!$J55=1,'طیف فازی'!$D$2,IF('امتیاز دهی خبرگان'!$J55=2,'طیف فازی'!$D$3,IF('امتیاز دهی خبرگان'!$J55=3,'طیف فازی'!$D$4,IF('امتیاز دهی خبرگان'!$J55=4,'طیف فازی'!$D$5,'طیف فازی'!$D$6)))))</f>
        <v>1</v>
      </c>
      <c r="AA55" s="17">
        <f>IF('امتیاز دهی خبرگان'!$K55=0,0,IF('امتیاز دهی خبرگان'!$K55=1,'طیف فازی'!$B$2,IF('امتیاز دهی خبرگان'!$K55=2,'طیف فازی'!$B$3,IF('امتیاز دهی خبرگان'!$K55=3,'طیف فازی'!$B$4,IF('امتیاز دهی خبرگان'!$K55=4,'طیف فازی'!$B$5,'طیف فازی'!$B$6)))))</f>
        <v>0.75</v>
      </c>
      <c r="AB55" s="18">
        <f>IF('امتیاز دهی خبرگان'!$K55=0,0,IF('امتیاز دهی خبرگان'!$K55=1,'طیف فازی'!$C$2,IF('امتیاز دهی خبرگان'!$K55=2,'طیف فازی'!$C$3,IF('امتیاز دهی خبرگان'!$K55=3,'طیف فازی'!$C$4,IF('امتیاز دهی خبرگان'!$K55=4,'طیف فازی'!$C$5,'طیف فازی'!$C$6)))))</f>
        <v>1</v>
      </c>
      <c r="AC55" s="19">
        <f>IF('امتیاز دهی خبرگان'!$K55=0,0,IF('امتیاز دهی خبرگان'!$K55=1,'طیف فازی'!$D$2,IF('امتیاز دهی خبرگان'!$K55=2,'طیف فازی'!$D$3,IF('امتیاز دهی خبرگان'!$K55=3,'طیف فازی'!$D$4,IF('امتیاز دهی خبرگان'!$K55=4,'طیف فازی'!$D$5,'طیف فازی'!$D$6)))))</f>
        <v>1</v>
      </c>
      <c r="AD55" s="17">
        <f>IF('امتیاز دهی خبرگان'!$L55=0,0,IF('امتیاز دهی خبرگان'!$L55=1,'طیف فازی'!$B$2,IF('امتیاز دهی خبرگان'!$L55=2,'طیف فازی'!$B$3,IF('امتیاز دهی خبرگان'!$L55=3,'طیف فازی'!$B$4,IF('امتیاز دهی خبرگان'!$L55=4,'طیف فازی'!$B$5,'طیف فازی'!$B$6)))))</f>
        <v>0.75</v>
      </c>
      <c r="AE55" s="18">
        <f>IF('امتیاز دهی خبرگان'!$L55=0,0,IF('امتیاز دهی خبرگان'!$L55=1,'طیف فازی'!$C$2,IF('امتیاز دهی خبرگان'!$L55=2,'طیف فازی'!$C$3,IF('امتیاز دهی خبرگان'!$L55=3,'طیف فازی'!$C$4,IF('امتیاز دهی خبرگان'!$L55=4,'طیف فازی'!$C$5,'طیف فازی'!$C$6)))))</f>
        <v>1</v>
      </c>
      <c r="AF55" s="19">
        <f>IF('امتیاز دهی خبرگان'!$L55=0,0,IF('امتیاز دهی خبرگان'!$L55=1,'طیف فازی'!$D$2,IF('امتیاز دهی خبرگان'!$L55=2,'طیف فازی'!$D$3,IF('امتیاز دهی خبرگان'!$L55=3,'طیف فازی'!$D$4,IF('امتیاز دهی خبرگان'!$L55=4,'طیف فازی'!$D$5,'طیف فازی'!$D$6)))))</f>
        <v>1</v>
      </c>
      <c r="AG55" s="17">
        <f>IF('امتیاز دهی خبرگان'!$M55=0,0,IF('امتیاز دهی خبرگان'!$M55=1,'طیف فازی'!$B$2,IF('امتیاز دهی خبرگان'!$M55=2,'طیف فازی'!$B$3,IF('امتیاز دهی خبرگان'!$M55=3,'طیف فازی'!$B$4,IF('امتیاز دهی خبرگان'!$M55=4,'طیف فازی'!$B$5,'طیف فازی'!$B$6)))))</f>
        <v>0.25</v>
      </c>
      <c r="AH55" s="18">
        <f>IF('امتیاز دهی خبرگان'!$M55=0,0,IF('امتیاز دهی خبرگان'!$M55=1,'طیف فازی'!$C$2,IF('امتیاز دهی خبرگان'!$M55=2,'طیف فازی'!$C$3,IF('امتیاز دهی خبرگان'!$M55=3,'طیف فازی'!$C$4,IF('امتیاز دهی خبرگان'!$M55=4,'طیف فازی'!$C$5,'طیف فازی'!$C$6)))))</f>
        <v>0.5</v>
      </c>
      <c r="AI55" s="19">
        <f>IF('امتیاز دهی خبرگان'!$M55=0,0,IF('امتیاز دهی خبرگان'!$M55=1,'طیف فازی'!$D$2,IF('امتیاز دهی خبرگان'!$M55=2,'طیف فازی'!$D$3,IF('امتیاز دهی خبرگان'!$M55=3,'طیف فازی'!$D$4,IF('امتیاز دهی خبرگان'!$M55=4,'طیف فازی'!$D$5,'طیف فازی'!$D$6)))))</f>
        <v>0.75</v>
      </c>
      <c r="AJ55" s="17">
        <f>IF('امتیاز دهی خبرگان'!$N55=0,0,IF('امتیاز دهی خبرگان'!$N55=1,'طیف فازی'!$B$2,IF('امتیاز دهی خبرگان'!$N55=2,'طیف فازی'!$B$3,IF('امتیاز دهی خبرگان'!$N55=3,'طیف فازی'!$B$4,IF('امتیاز دهی خبرگان'!$N55=4,'طیف فازی'!$B$5,'طیف فازی'!$B$6)))))</f>
        <v>0.5</v>
      </c>
      <c r="AK55" s="18">
        <f>IF('امتیاز دهی خبرگان'!$N55=0,0,IF('امتیاز دهی خبرگان'!$N55=1,'طیف فازی'!$C$2,IF('امتیاز دهی خبرگان'!$N55=2,'طیف فازی'!$C$3,IF('امتیاز دهی خبرگان'!$N55=3,'طیف فازی'!$C$4,IF('امتیاز دهی خبرگان'!$N55=4,'طیف فازی'!$C$5,'طیف فازی'!$C$6)))))</f>
        <v>0.75</v>
      </c>
      <c r="AL55" s="19">
        <f>IF('امتیاز دهی خبرگان'!$N55=0,0,IF('امتیاز دهی خبرگان'!$N55=1,'طیف فازی'!$D$2,IF('امتیاز دهی خبرگان'!$N55=2,'طیف فازی'!$D$3,IF('امتیاز دهی خبرگان'!$N55=3,'طیف فازی'!$D$4,IF('امتیاز دهی خبرگان'!$N55=4,'طیف فازی'!$D$5,'طیف فازی'!$D$6)))))</f>
        <v>1</v>
      </c>
      <c r="AM55" s="23">
        <f t="shared" si="1"/>
        <v>6.25</v>
      </c>
      <c r="AN55" s="23">
        <f t="shared" si="2"/>
        <v>9.25</v>
      </c>
      <c r="AO55" s="24">
        <f t="shared" si="3"/>
        <v>11</v>
      </c>
      <c r="AP55" s="25">
        <f t="shared" si="4"/>
        <v>0.52083333333333337</v>
      </c>
      <c r="AQ55" s="23">
        <f t="shared" si="5"/>
        <v>0.77083333333333337</v>
      </c>
      <c r="AR55" s="24">
        <f t="shared" si="6"/>
        <v>0.91666666666666663</v>
      </c>
      <c r="AS55" s="24">
        <f t="shared" si="7"/>
        <v>0.73611111111111116</v>
      </c>
      <c r="AT55" s="24" t="str">
        <f t="shared" si="8"/>
        <v>Pass</v>
      </c>
    </row>
    <row r="56" spans="2:46" ht="23.25" customHeight="1" thickBot="1" x14ac:dyDescent="0.85">
      <c r="B56" s="2">
        <v>54</v>
      </c>
      <c r="C56" s="17">
        <f>IF('امتیاز دهی خبرگان'!$C56=0,0,IF('امتیاز دهی خبرگان'!$C56=1,'طیف فازی'!$B$2,IF('امتیاز دهی خبرگان'!$C56=2,'طیف فازی'!$B$3,IF('امتیاز دهی خبرگان'!$C56=3,'طیف فازی'!$B$4,IF('امتیاز دهی خبرگان'!$C56=4,'طیف فازی'!$B$5,'طیف فازی'!$B$6)))))</f>
        <v>0.75</v>
      </c>
      <c r="D56" s="18">
        <f>IF('امتیاز دهی خبرگان'!$C56=0,0,IF('امتیاز دهی خبرگان'!$C56=1,'طیف فازی'!$C$2,IF('امتیاز دهی خبرگان'!$C56=2,'طیف فازی'!$C$3,IF('امتیاز دهی خبرگان'!$C56=3,'طیف فازی'!$C$4,IF('امتیاز دهی خبرگان'!$C56=4,'طیف فازی'!$C$5,'طیف فازی'!$C$6)))))</f>
        <v>1</v>
      </c>
      <c r="E56" s="19">
        <f>IF('امتیاز دهی خبرگان'!$C56=0,0,IF('امتیاز دهی خبرگان'!$C56=1,'طیف فازی'!$D$2,IF('امتیاز دهی خبرگان'!$C56=2,'طیف فازی'!$D$3,IF('امتیاز دهی خبرگان'!$C56=3,'طیف فازی'!$D$4,IF('امتیاز دهی خبرگان'!$C56=4,'طیف فازی'!$D$5,'طیف فازی'!$D$6)))))</f>
        <v>1</v>
      </c>
      <c r="F56" s="20">
        <f>IF('امتیاز دهی خبرگان'!$D56=0,0,IF('امتیاز دهی خبرگان'!$D56=1,'طیف فازی'!$B$2,IF('امتیاز دهی خبرگان'!$D56=2,'طیف فازی'!$B$3,IF('امتیاز دهی خبرگان'!$D56=3,'طیف فازی'!$B$4,IF('امتیاز دهی خبرگان'!$D56=4,'طیف فازی'!$B$5,'طیف فازی'!$B$6)))))</f>
        <v>0.5</v>
      </c>
      <c r="G56" s="21">
        <f>IF('امتیاز دهی خبرگان'!$D56=0,0,IF('امتیاز دهی خبرگان'!$D56=1,'طیف فازی'!$D$2,IF('امتیاز دهی خبرگان'!$D56=2,'طیف فازی'!$C$3,IF('امتیاز دهی خبرگان'!$D56=3,'طیف فازی'!$C$4,IF('امتیاز دهی خبرگان'!$D56=4,'طیف فازی'!$C$5,'طیف فازی'!$C$6)))))</f>
        <v>0.75</v>
      </c>
      <c r="H56" s="22">
        <f>IF('امتیاز دهی خبرگان'!$D56=0,0,IF('امتیاز دهی خبرگان'!$D56=1,'طیف فازی'!$D$2,IF('امتیاز دهی خبرگان'!$D56=2,'طیف فازی'!$D$3,IF('امتیاز دهی خبرگان'!$D56=3,'طیف فازی'!$D$4,IF('امتیاز دهی خبرگان'!$D56=4,'طیف فازی'!$D$5,'طیف فازی'!$D$6)))))</f>
        <v>1</v>
      </c>
      <c r="I56" s="17">
        <f>IF('امتیاز دهی خبرگان'!$E56=0,0,IF('امتیاز دهی خبرگان'!$E56=1,'طیف فازی'!$B$2,IF('امتیاز دهی خبرگان'!$E56=2,'طیف فازی'!$B$3,IF('امتیاز دهی خبرگان'!$E56=3,'طیف فازی'!$B$4,IF('امتیاز دهی خبرگان'!$E56=4,'طیف فازی'!$B$5,'طیف فازی'!$B$6)))))</f>
        <v>0.5</v>
      </c>
      <c r="J56" s="18">
        <f>IF('امتیاز دهی خبرگان'!$E56=0,0,IF('امتیاز دهی خبرگان'!$E56=1,'طیف فازی'!$C$2,IF('امتیاز دهی خبرگان'!$E56=2,'طیف فازی'!$C$3,IF('امتیاز دهی خبرگان'!$E56=3,'طیف فازی'!$C$4,IF('امتیاز دهی خبرگان'!$E56=4,'طیف فازی'!$C$5,'طیف فازی'!$C$6)))))</f>
        <v>0.75</v>
      </c>
      <c r="K56" s="19">
        <f>IF('امتیاز دهی خبرگان'!$E56=0,0,IF('امتیاز دهی خبرگان'!$E56=1,'طیف فازی'!$D$2,IF('امتیاز دهی خبرگان'!$E56=2,'طیف فازی'!$D$3,IF('امتیاز دهی خبرگان'!$E56=3,'طیف فازی'!$D$4,IF('امتیاز دهی خبرگان'!$E56=4,'طیف فازی'!$D$5,'طیف فازی'!$D$6)))))</f>
        <v>1</v>
      </c>
      <c r="L56" s="17">
        <f>IF('امتیاز دهی خبرگان'!$F56=0,0,IF('امتیاز دهی خبرگان'!$F56=1,'طیف فازی'!$B$2,IF('امتیاز دهی خبرگان'!$F56=2,'طیف فازی'!$B$3,IF('امتیاز دهی خبرگان'!$F56=3,'طیف فازی'!$B$4,IF('امتیاز دهی خبرگان'!$F56=4,'طیف فازی'!$B$5,'طیف فازی'!$B$6)))))</f>
        <v>0.5</v>
      </c>
      <c r="M56" s="18">
        <f>IF('امتیاز دهی خبرگان'!$F56=0,0,IF('امتیاز دهی خبرگان'!$F56=1,'طیف فازی'!$C$2,IF('امتیاز دهی خبرگان'!$F56=2,'طیف فازی'!$C$3,IF('امتیاز دهی خبرگان'!$F56=3,'طیف فازی'!$C$4,IF('امتیاز دهی خبرگان'!$F56=4,'طیف فازی'!$C$5,'طیف فازی'!$C$6)))))</f>
        <v>0.75</v>
      </c>
      <c r="N56" s="19">
        <f>IF('امتیاز دهی خبرگان'!$F56=0,0,IF('امتیاز دهی خبرگان'!$F56=1,'طیف فازی'!$D$2,IF('امتیاز دهی خبرگان'!$F56=2,'طیف فازی'!$D$3,IF('امتیاز دهی خبرگان'!$F56=3,'طیف فازی'!$D$4,IF('امتیاز دهی خبرگان'!$F56=4,'طیف فازی'!$D$5,'طیف فازی'!$D$6)))))</f>
        <v>1</v>
      </c>
      <c r="O56" s="17">
        <f>IF('امتیاز دهی خبرگان'!$G56=0,0,IF('امتیاز دهی خبرگان'!$G56=1,'طیف فازی'!$B$2,IF('امتیاز دهی خبرگان'!$G56=2,'طیف فازی'!$B$3,IF('امتیاز دهی خبرگان'!$G56=3,'طیف فازی'!$B$4,IF('امتیاز دهی خبرگان'!$G56=4,'طیف فازی'!$B$5,'طیف فازی'!$B$6)))))</f>
        <v>0.25</v>
      </c>
      <c r="P56" s="18">
        <f>IF('امتیاز دهی خبرگان'!$G56=0,0,IF('امتیاز دهی خبرگان'!$G56=1,'طیف فازی'!$C$2,IF('امتیاز دهی خبرگان'!$G56=2,'طیف فازی'!$C$3,IF('امتیاز دهی خبرگان'!$G56=3,'طیف فازی'!$C$4,IF('امتیاز دهی خبرگان'!$G56=4,'طیف فازی'!$C$5,'طیف فازی'!$C$6)))))</f>
        <v>0.5</v>
      </c>
      <c r="Q56" s="19">
        <f>IF('امتیاز دهی خبرگان'!$G56=0,0,IF('امتیاز دهی خبرگان'!$G56=1,'طیف فازی'!$D$2,IF('امتیاز دهی خبرگان'!$G56=2,'طیف فازی'!$D$3,IF('امتیاز دهی خبرگان'!$G56=3,'طیف فازی'!$D$4,IF('امتیاز دهی خبرگان'!$G56=4,'طیف فازی'!$D$5,'طیف فازی'!$D$6)))))</f>
        <v>0.75</v>
      </c>
      <c r="R56" s="17">
        <f>IF('امتیاز دهی خبرگان'!$H56=0,0,IF('امتیاز دهی خبرگان'!$H56=1,'طیف فازی'!$B$2,IF('امتیاز دهی خبرگان'!$H56=2,'طیف فازی'!$B$3,IF('امتیاز دهی خبرگان'!$H56=3,'طیف فازی'!$B$4,IF('امتیاز دهی خبرگان'!$H56=4,'طیف فازی'!$B$5,'طیف فازی'!$B$6)))))</f>
        <v>0</v>
      </c>
      <c r="S56" s="18">
        <f>IF('امتیاز دهی خبرگان'!$H56=0,0,IF('امتیاز دهی خبرگان'!$H56=1,'طیف فازی'!$C$2,IF('امتیاز دهی خبرگان'!$H56=2,'طیف فازی'!$C$3,IF('امتیاز دهی خبرگان'!$H56=3,'طیف فازی'!$C$4,IF('امتیاز دهی خبرگان'!$H56=4,'طیف فازی'!$C$5,'طیف فازی'!$C$6)))))</f>
        <v>0.25</v>
      </c>
      <c r="T56" s="19">
        <f>IF('امتیاز دهی خبرگان'!$H56=0,0,IF('امتیاز دهی خبرگان'!$H56=1,'طیف فازی'!$D$2,IF('امتیاز دهی خبرگان'!$H56=2,'طیف فازی'!$D$3,IF('امتیاز دهی خبرگان'!$H56=3,'طیف فازی'!$D$4,IF('امتیاز دهی خبرگان'!$H56=4,'طیف فازی'!$D$5,'طیف فازی'!$D$6)))))</f>
        <v>0.5</v>
      </c>
      <c r="U56" s="17">
        <f>IF('امتیاز دهی خبرگان'!$I56=0,0,IF('امتیاز دهی خبرگان'!$I56=1,'طیف فازی'!$B$2,IF('امتیاز دهی خبرگان'!$I56=2,'طیف فازی'!$B$3,IF('امتیاز دهی خبرگان'!$I56=3,'طیف فازی'!$B$4,IF('امتیاز دهی خبرگان'!$I56=4,'طیف فازی'!$B$5,'طیف فازی'!$B$6)))))</f>
        <v>0.75</v>
      </c>
      <c r="V56" s="18">
        <f>IF('امتیاز دهی خبرگان'!$I56=0,0,IF('امتیاز دهی خبرگان'!$I56=1,'طیف فازی'!$C$2,IF('امتیاز دهی خبرگان'!$I56=2,'طیف فازی'!$C$3,IF('امتیاز دهی خبرگان'!$I56=3,'طیف فازی'!$C$4,IF('امتیاز دهی خبرگان'!$I56=4,'طیف فازی'!$C$5,'طیف فازی'!$C$6)))))</f>
        <v>1</v>
      </c>
      <c r="W56" s="19">
        <f>IF('امتیاز دهی خبرگان'!$I56=0,0,IF('امتیاز دهی خبرگان'!$I56=1,'طیف فازی'!$D$2,IF('امتیاز دهی خبرگان'!$I56=2,'طیف فازی'!$D$3,IF('امتیاز دهی خبرگان'!$I56=3,'طیف فازی'!$D$4,IF('امتیاز دهی خبرگان'!$I56=4,'طیف فازی'!$D$5,'طیف فازی'!$D$6)))))</f>
        <v>1</v>
      </c>
      <c r="X56" s="17">
        <f>IF('امتیاز دهی خبرگان'!$J56=0,0,IF('امتیاز دهی خبرگان'!$J56=1,'طیف فازی'!$B$2,IF('امتیاز دهی خبرگان'!$J56=2,'طیف فازی'!$B$3,IF('امتیاز دهی خبرگان'!$J56=3,'طیف فازی'!$B$4,IF('امتیاز دهی خبرگان'!$J56=4,'طیف فازی'!$B$5,'طیف فازی'!$B$6)))))</f>
        <v>0.5</v>
      </c>
      <c r="Y56" s="18">
        <f>IF('امتیاز دهی خبرگان'!$J56=0,0,IF('امتیاز دهی خبرگان'!$J56=1,'طیف فازی'!$C$2,IF('امتیاز دهی خبرگان'!$J56=2,'طیف فازی'!$C$3,IF('امتیاز دهی خبرگان'!$J56=3,'طیف فازی'!$C$4,IF('امتیاز دهی خبرگان'!$J56=4,'طیف فازی'!$C$5,'طیف فازی'!$C$6)))))</f>
        <v>0.75</v>
      </c>
      <c r="Z56" s="19">
        <f>IF('امتیاز دهی خبرگان'!$J56=0,0,IF('امتیاز دهی خبرگان'!$J56=1,'طیف فازی'!$D$2,IF('امتیاز دهی خبرگان'!$J56=2,'طیف فازی'!$D$3,IF('امتیاز دهی خبرگان'!$J56=3,'طیف فازی'!$D$4,IF('امتیاز دهی خبرگان'!$J56=4,'طیف فازی'!$D$5,'طیف فازی'!$D$6)))))</f>
        <v>1</v>
      </c>
      <c r="AA56" s="17">
        <f>IF('امتیاز دهی خبرگان'!$K56=0,0,IF('امتیاز دهی خبرگان'!$K56=1,'طیف فازی'!$B$2,IF('امتیاز دهی خبرگان'!$K56=2,'طیف فازی'!$B$3,IF('امتیاز دهی خبرگان'!$K56=3,'طیف فازی'!$B$4,IF('امتیاز دهی خبرگان'!$K56=4,'طیف فازی'!$B$5,'طیف فازی'!$B$6)))))</f>
        <v>0.75</v>
      </c>
      <c r="AB56" s="18">
        <f>IF('امتیاز دهی خبرگان'!$K56=0,0,IF('امتیاز دهی خبرگان'!$K56=1,'طیف فازی'!$C$2,IF('امتیاز دهی خبرگان'!$K56=2,'طیف فازی'!$C$3,IF('امتیاز دهی خبرگان'!$K56=3,'طیف فازی'!$C$4,IF('امتیاز دهی خبرگان'!$K56=4,'طیف فازی'!$C$5,'طیف فازی'!$C$6)))))</f>
        <v>1</v>
      </c>
      <c r="AC56" s="19">
        <f>IF('امتیاز دهی خبرگان'!$K56=0,0,IF('امتیاز دهی خبرگان'!$K56=1,'طیف فازی'!$D$2,IF('امتیاز دهی خبرگان'!$K56=2,'طیف فازی'!$D$3,IF('امتیاز دهی خبرگان'!$K56=3,'طیف فازی'!$D$4,IF('امتیاز دهی خبرگان'!$K56=4,'طیف فازی'!$D$5,'طیف فازی'!$D$6)))))</f>
        <v>1</v>
      </c>
      <c r="AD56" s="17">
        <f>IF('امتیاز دهی خبرگان'!$L56=0,0,IF('امتیاز دهی خبرگان'!$L56=1,'طیف فازی'!$B$2,IF('امتیاز دهی خبرگان'!$L56=2,'طیف فازی'!$B$3,IF('امتیاز دهی خبرگان'!$L56=3,'طیف فازی'!$B$4,IF('امتیاز دهی خبرگان'!$L56=4,'طیف فازی'!$B$5,'طیف فازی'!$B$6)))))</f>
        <v>0.75</v>
      </c>
      <c r="AE56" s="18">
        <f>IF('امتیاز دهی خبرگان'!$L56=0,0,IF('امتیاز دهی خبرگان'!$L56=1,'طیف فازی'!$C$2,IF('امتیاز دهی خبرگان'!$L56=2,'طیف فازی'!$C$3,IF('امتیاز دهی خبرگان'!$L56=3,'طیف فازی'!$C$4,IF('امتیاز دهی خبرگان'!$L56=4,'طیف فازی'!$C$5,'طیف فازی'!$C$6)))))</f>
        <v>1</v>
      </c>
      <c r="AF56" s="19">
        <f>IF('امتیاز دهی خبرگان'!$L56=0,0,IF('امتیاز دهی خبرگان'!$L56=1,'طیف فازی'!$D$2,IF('امتیاز دهی خبرگان'!$L56=2,'طیف فازی'!$D$3,IF('امتیاز دهی خبرگان'!$L56=3,'طیف فازی'!$D$4,IF('امتیاز دهی خبرگان'!$L56=4,'طیف فازی'!$D$5,'طیف فازی'!$D$6)))))</f>
        <v>1</v>
      </c>
      <c r="AG56" s="17">
        <f>IF('امتیاز دهی خبرگان'!$M56=0,0,IF('امتیاز دهی خبرگان'!$M56=1,'طیف فازی'!$B$2,IF('امتیاز دهی خبرگان'!$M56=2,'طیف فازی'!$B$3,IF('امتیاز دهی خبرگان'!$M56=3,'طیف فازی'!$B$4,IF('امتیاز دهی خبرگان'!$M56=4,'طیف فازی'!$B$5,'طیف فازی'!$B$6)))))</f>
        <v>0.5</v>
      </c>
      <c r="AH56" s="18">
        <f>IF('امتیاز دهی خبرگان'!$M56=0,0,IF('امتیاز دهی خبرگان'!$M56=1,'طیف فازی'!$C$2,IF('امتیاز دهی خبرگان'!$M56=2,'طیف فازی'!$C$3,IF('امتیاز دهی خبرگان'!$M56=3,'طیف فازی'!$C$4,IF('امتیاز دهی خبرگان'!$M56=4,'طیف فازی'!$C$5,'طیف فازی'!$C$6)))))</f>
        <v>0.75</v>
      </c>
      <c r="AI56" s="19">
        <f>IF('امتیاز دهی خبرگان'!$M56=0,0,IF('امتیاز دهی خبرگان'!$M56=1,'طیف فازی'!$D$2,IF('امتیاز دهی خبرگان'!$M56=2,'طیف فازی'!$D$3,IF('امتیاز دهی خبرگان'!$M56=3,'طیف فازی'!$D$4,IF('امتیاز دهی خبرگان'!$M56=4,'طیف فازی'!$D$5,'طیف فازی'!$D$6)))))</f>
        <v>1</v>
      </c>
      <c r="AJ56" s="17">
        <f>IF('امتیاز دهی خبرگان'!$N56=0,0,IF('امتیاز دهی خبرگان'!$N56=1,'طیف فازی'!$B$2,IF('امتیاز دهی خبرگان'!$N56=2,'طیف فازی'!$B$3,IF('امتیاز دهی خبرگان'!$N56=3,'طیف فازی'!$B$4,IF('امتیاز دهی خبرگان'!$N56=4,'طیف فازی'!$B$5,'طیف فازی'!$B$6)))))</f>
        <v>0.75</v>
      </c>
      <c r="AK56" s="18">
        <f>IF('امتیاز دهی خبرگان'!$N56=0,0,IF('امتیاز دهی خبرگان'!$N56=1,'طیف فازی'!$C$2,IF('امتیاز دهی خبرگان'!$N56=2,'طیف فازی'!$C$3,IF('امتیاز دهی خبرگان'!$N56=3,'طیف فازی'!$C$4,IF('امتیاز دهی خبرگان'!$N56=4,'طیف فازی'!$C$5,'طیف فازی'!$C$6)))))</f>
        <v>1</v>
      </c>
      <c r="AL56" s="19">
        <f>IF('امتیاز دهی خبرگان'!$N56=0,0,IF('امتیاز دهی خبرگان'!$N56=1,'طیف فازی'!$D$2,IF('امتیاز دهی خبرگان'!$N56=2,'طیف فازی'!$D$3,IF('امتیاز دهی خبرگان'!$N56=3,'طیف فازی'!$D$4,IF('امتیاز دهی خبرگان'!$N56=4,'طیف فازی'!$D$5,'طیف فازی'!$D$6)))))</f>
        <v>1</v>
      </c>
      <c r="AM56" s="23">
        <f t="shared" si="1"/>
        <v>6.5</v>
      </c>
      <c r="AN56" s="23">
        <f t="shared" si="2"/>
        <v>9.5</v>
      </c>
      <c r="AO56" s="24">
        <f t="shared" si="3"/>
        <v>11.25</v>
      </c>
      <c r="AP56" s="25">
        <f t="shared" si="4"/>
        <v>0.54166666666666663</v>
      </c>
      <c r="AQ56" s="23">
        <f t="shared" si="5"/>
        <v>0.79166666666666663</v>
      </c>
      <c r="AR56" s="24">
        <f t="shared" si="6"/>
        <v>0.9375</v>
      </c>
      <c r="AS56" s="24">
        <f t="shared" si="7"/>
        <v>0.75694444444444431</v>
      </c>
      <c r="AT56" s="24" t="str">
        <f t="shared" si="8"/>
        <v>Pass</v>
      </c>
    </row>
    <row r="57" spans="2:46" ht="23.25" customHeight="1" thickBot="1" x14ac:dyDescent="0.85">
      <c r="B57" s="2">
        <v>55</v>
      </c>
      <c r="C57" s="17">
        <f>IF('امتیاز دهی خبرگان'!$C57=0,0,IF('امتیاز دهی خبرگان'!$C57=1,'طیف فازی'!$B$2,IF('امتیاز دهی خبرگان'!$C57=2,'طیف فازی'!$B$3,IF('امتیاز دهی خبرگان'!$C57=3,'طیف فازی'!$B$4,IF('امتیاز دهی خبرگان'!$C57=4,'طیف فازی'!$B$5,'طیف فازی'!$B$6)))))</f>
        <v>0.5</v>
      </c>
      <c r="D57" s="18">
        <f>IF('امتیاز دهی خبرگان'!$C57=0,0,IF('امتیاز دهی خبرگان'!$C57=1,'طیف فازی'!$C$2,IF('امتیاز دهی خبرگان'!$C57=2,'طیف فازی'!$C$3,IF('امتیاز دهی خبرگان'!$C57=3,'طیف فازی'!$C$4,IF('امتیاز دهی خبرگان'!$C57=4,'طیف فازی'!$C$5,'طیف فازی'!$C$6)))))</f>
        <v>0.75</v>
      </c>
      <c r="E57" s="19">
        <f>IF('امتیاز دهی خبرگان'!$C57=0,0,IF('امتیاز دهی خبرگان'!$C57=1,'طیف فازی'!$D$2,IF('امتیاز دهی خبرگان'!$C57=2,'طیف فازی'!$D$3,IF('امتیاز دهی خبرگان'!$C57=3,'طیف فازی'!$D$4,IF('امتیاز دهی خبرگان'!$C57=4,'طیف فازی'!$D$5,'طیف فازی'!$D$6)))))</f>
        <v>1</v>
      </c>
      <c r="F57" s="20">
        <f>IF('امتیاز دهی خبرگان'!$D57=0,0,IF('امتیاز دهی خبرگان'!$D57=1,'طیف فازی'!$B$2,IF('امتیاز دهی خبرگان'!$D57=2,'طیف فازی'!$B$3,IF('امتیاز دهی خبرگان'!$D57=3,'طیف فازی'!$B$4,IF('امتیاز دهی خبرگان'!$D57=4,'طیف فازی'!$B$5,'طیف فازی'!$B$6)))))</f>
        <v>0.5</v>
      </c>
      <c r="G57" s="21">
        <f>IF('امتیاز دهی خبرگان'!$D57=0,0,IF('امتیاز دهی خبرگان'!$D57=1,'طیف فازی'!$D$2,IF('امتیاز دهی خبرگان'!$D57=2,'طیف فازی'!$C$3,IF('امتیاز دهی خبرگان'!$D57=3,'طیف فازی'!$C$4,IF('امتیاز دهی خبرگان'!$D57=4,'طیف فازی'!$C$5,'طیف فازی'!$C$6)))))</f>
        <v>0.75</v>
      </c>
      <c r="H57" s="22">
        <f>IF('امتیاز دهی خبرگان'!$D57=0,0,IF('امتیاز دهی خبرگان'!$D57=1,'طیف فازی'!$D$2,IF('امتیاز دهی خبرگان'!$D57=2,'طیف فازی'!$D$3,IF('امتیاز دهی خبرگان'!$D57=3,'طیف فازی'!$D$4,IF('امتیاز دهی خبرگان'!$D57=4,'طیف فازی'!$D$5,'طیف فازی'!$D$6)))))</f>
        <v>1</v>
      </c>
      <c r="I57" s="17">
        <f>IF('امتیاز دهی خبرگان'!$E57=0,0,IF('امتیاز دهی خبرگان'!$E57=1,'طیف فازی'!$B$2,IF('امتیاز دهی خبرگان'!$E57=2,'طیف فازی'!$B$3,IF('امتیاز دهی خبرگان'!$E57=3,'طیف فازی'!$B$4,IF('امتیاز دهی خبرگان'!$E57=4,'طیف فازی'!$B$5,'طیف فازی'!$B$6)))))</f>
        <v>0.5</v>
      </c>
      <c r="J57" s="18">
        <f>IF('امتیاز دهی خبرگان'!$E57=0,0,IF('امتیاز دهی خبرگان'!$E57=1,'طیف فازی'!$C$2,IF('امتیاز دهی خبرگان'!$E57=2,'طیف فازی'!$C$3,IF('امتیاز دهی خبرگان'!$E57=3,'طیف فازی'!$C$4,IF('امتیاز دهی خبرگان'!$E57=4,'طیف فازی'!$C$5,'طیف فازی'!$C$6)))))</f>
        <v>0.75</v>
      </c>
      <c r="K57" s="19">
        <f>IF('امتیاز دهی خبرگان'!$E57=0,0,IF('امتیاز دهی خبرگان'!$E57=1,'طیف فازی'!$D$2,IF('امتیاز دهی خبرگان'!$E57=2,'طیف فازی'!$D$3,IF('امتیاز دهی خبرگان'!$E57=3,'طیف فازی'!$D$4,IF('امتیاز دهی خبرگان'!$E57=4,'طیف فازی'!$D$5,'طیف فازی'!$D$6)))))</f>
        <v>1</v>
      </c>
      <c r="L57" s="17">
        <f>IF('امتیاز دهی خبرگان'!$F57=0,0,IF('امتیاز دهی خبرگان'!$F57=1,'طیف فازی'!$B$2,IF('امتیاز دهی خبرگان'!$F57=2,'طیف فازی'!$B$3,IF('امتیاز دهی خبرگان'!$F57=3,'طیف فازی'!$B$4,IF('امتیاز دهی خبرگان'!$F57=4,'طیف فازی'!$B$5,'طیف فازی'!$B$6)))))</f>
        <v>0.5</v>
      </c>
      <c r="M57" s="18">
        <f>IF('امتیاز دهی خبرگان'!$F57=0,0,IF('امتیاز دهی خبرگان'!$F57=1,'طیف فازی'!$C$2,IF('امتیاز دهی خبرگان'!$F57=2,'طیف فازی'!$C$3,IF('امتیاز دهی خبرگان'!$F57=3,'طیف فازی'!$C$4,IF('امتیاز دهی خبرگان'!$F57=4,'طیف فازی'!$C$5,'طیف فازی'!$C$6)))))</f>
        <v>0.75</v>
      </c>
      <c r="N57" s="19">
        <f>IF('امتیاز دهی خبرگان'!$F57=0,0,IF('امتیاز دهی خبرگان'!$F57=1,'طیف فازی'!$D$2,IF('امتیاز دهی خبرگان'!$F57=2,'طیف فازی'!$D$3,IF('امتیاز دهی خبرگان'!$F57=3,'طیف فازی'!$D$4,IF('امتیاز دهی خبرگان'!$F57=4,'طیف فازی'!$D$5,'طیف فازی'!$D$6)))))</f>
        <v>1</v>
      </c>
      <c r="O57" s="17">
        <f>IF('امتیاز دهی خبرگان'!$G57=0,0,IF('امتیاز دهی خبرگان'!$G57=1,'طیف فازی'!$B$2,IF('امتیاز دهی خبرگان'!$G57=2,'طیف فازی'!$B$3,IF('امتیاز دهی خبرگان'!$G57=3,'طیف فازی'!$B$4,IF('امتیاز دهی خبرگان'!$G57=4,'طیف فازی'!$B$5,'طیف فازی'!$B$6)))))</f>
        <v>0.5</v>
      </c>
      <c r="P57" s="18">
        <f>IF('امتیاز دهی خبرگان'!$G57=0,0,IF('امتیاز دهی خبرگان'!$G57=1,'طیف فازی'!$C$2,IF('امتیاز دهی خبرگان'!$G57=2,'طیف فازی'!$C$3,IF('امتیاز دهی خبرگان'!$G57=3,'طیف فازی'!$C$4,IF('امتیاز دهی خبرگان'!$G57=4,'طیف فازی'!$C$5,'طیف فازی'!$C$6)))))</f>
        <v>0.75</v>
      </c>
      <c r="Q57" s="19">
        <f>IF('امتیاز دهی خبرگان'!$G57=0,0,IF('امتیاز دهی خبرگان'!$G57=1,'طیف فازی'!$D$2,IF('امتیاز دهی خبرگان'!$G57=2,'طیف فازی'!$D$3,IF('امتیاز دهی خبرگان'!$G57=3,'طیف فازی'!$D$4,IF('امتیاز دهی خبرگان'!$G57=4,'طیف فازی'!$D$5,'طیف فازی'!$D$6)))))</f>
        <v>1</v>
      </c>
      <c r="R57" s="17">
        <f>IF('امتیاز دهی خبرگان'!$H57=0,0,IF('امتیاز دهی خبرگان'!$H57=1,'طیف فازی'!$B$2,IF('امتیاز دهی خبرگان'!$H57=2,'طیف فازی'!$B$3,IF('امتیاز دهی خبرگان'!$H57=3,'طیف فازی'!$B$4,IF('امتیاز دهی خبرگان'!$H57=4,'طیف فازی'!$B$5,'طیف فازی'!$B$6)))))</f>
        <v>0.5</v>
      </c>
      <c r="S57" s="18">
        <f>IF('امتیاز دهی خبرگان'!$H57=0,0,IF('امتیاز دهی خبرگان'!$H57=1,'طیف فازی'!$C$2,IF('امتیاز دهی خبرگان'!$H57=2,'طیف فازی'!$C$3,IF('امتیاز دهی خبرگان'!$H57=3,'طیف فازی'!$C$4,IF('امتیاز دهی خبرگان'!$H57=4,'طیف فازی'!$C$5,'طیف فازی'!$C$6)))))</f>
        <v>0.75</v>
      </c>
      <c r="T57" s="19">
        <f>IF('امتیاز دهی خبرگان'!$H57=0,0,IF('امتیاز دهی خبرگان'!$H57=1,'طیف فازی'!$D$2,IF('امتیاز دهی خبرگان'!$H57=2,'طیف فازی'!$D$3,IF('امتیاز دهی خبرگان'!$H57=3,'طیف فازی'!$D$4,IF('امتیاز دهی خبرگان'!$H57=4,'طیف فازی'!$D$5,'طیف فازی'!$D$6)))))</f>
        <v>1</v>
      </c>
      <c r="U57" s="17">
        <f>IF('امتیاز دهی خبرگان'!$I57=0,0,IF('امتیاز دهی خبرگان'!$I57=1,'طیف فازی'!$B$2,IF('امتیاز دهی خبرگان'!$I57=2,'طیف فازی'!$B$3,IF('امتیاز دهی خبرگان'!$I57=3,'طیف فازی'!$B$4,IF('امتیاز دهی خبرگان'!$I57=4,'طیف فازی'!$B$5,'طیف فازی'!$B$6)))))</f>
        <v>0.75</v>
      </c>
      <c r="V57" s="18">
        <f>IF('امتیاز دهی خبرگان'!$I57=0,0,IF('امتیاز دهی خبرگان'!$I57=1,'طیف فازی'!$C$2,IF('امتیاز دهی خبرگان'!$I57=2,'طیف فازی'!$C$3,IF('امتیاز دهی خبرگان'!$I57=3,'طیف فازی'!$C$4,IF('امتیاز دهی خبرگان'!$I57=4,'طیف فازی'!$C$5,'طیف فازی'!$C$6)))))</f>
        <v>1</v>
      </c>
      <c r="W57" s="19">
        <f>IF('امتیاز دهی خبرگان'!$I57=0,0,IF('امتیاز دهی خبرگان'!$I57=1,'طیف فازی'!$D$2,IF('امتیاز دهی خبرگان'!$I57=2,'طیف فازی'!$D$3,IF('امتیاز دهی خبرگان'!$I57=3,'طیف فازی'!$D$4,IF('امتیاز دهی خبرگان'!$I57=4,'طیف فازی'!$D$5,'طیف فازی'!$D$6)))))</f>
        <v>1</v>
      </c>
      <c r="X57" s="17">
        <f>IF('امتیاز دهی خبرگان'!$J57=0,0,IF('امتیاز دهی خبرگان'!$J57=1,'طیف فازی'!$B$2,IF('امتیاز دهی خبرگان'!$J57=2,'طیف فازی'!$B$3,IF('امتیاز دهی خبرگان'!$J57=3,'طیف فازی'!$B$4,IF('امتیاز دهی خبرگان'!$J57=4,'طیف فازی'!$B$5,'طیف فازی'!$B$6)))))</f>
        <v>0.5</v>
      </c>
      <c r="Y57" s="18">
        <f>IF('امتیاز دهی خبرگان'!$J57=0,0,IF('امتیاز دهی خبرگان'!$J57=1,'طیف فازی'!$C$2,IF('امتیاز دهی خبرگان'!$J57=2,'طیف فازی'!$C$3,IF('امتیاز دهی خبرگان'!$J57=3,'طیف فازی'!$C$4,IF('امتیاز دهی خبرگان'!$J57=4,'طیف فازی'!$C$5,'طیف فازی'!$C$6)))))</f>
        <v>0.75</v>
      </c>
      <c r="Z57" s="19">
        <f>IF('امتیاز دهی خبرگان'!$J57=0,0,IF('امتیاز دهی خبرگان'!$J57=1,'طیف فازی'!$D$2,IF('امتیاز دهی خبرگان'!$J57=2,'طیف فازی'!$D$3,IF('امتیاز دهی خبرگان'!$J57=3,'طیف فازی'!$D$4,IF('امتیاز دهی خبرگان'!$J57=4,'طیف فازی'!$D$5,'طیف فازی'!$D$6)))))</f>
        <v>1</v>
      </c>
      <c r="AA57" s="17">
        <f>IF('امتیاز دهی خبرگان'!$K57=0,0,IF('امتیاز دهی خبرگان'!$K57=1,'طیف فازی'!$B$2,IF('امتیاز دهی خبرگان'!$K57=2,'طیف فازی'!$B$3,IF('امتیاز دهی خبرگان'!$K57=3,'طیف فازی'!$B$4,IF('امتیاز دهی خبرگان'!$K57=4,'طیف فازی'!$B$5,'طیف فازی'!$B$6)))))</f>
        <v>0.5</v>
      </c>
      <c r="AB57" s="18">
        <f>IF('امتیاز دهی خبرگان'!$K57=0,0,IF('امتیاز دهی خبرگان'!$K57=1,'طیف فازی'!$C$2,IF('امتیاز دهی خبرگان'!$K57=2,'طیف فازی'!$C$3,IF('امتیاز دهی خبرگان'!$K57=3,'طیف فازی'!$C$4,IF('امتیاز دهی خبرگان'!$K57=4,'طیف فازی'!$C$5,'طیف فازی'!$C$6)))))</f>
        <v>0.75</v>
      </c>
      <c r="AC57" s="19">
        <f>IF('امتیاز دهی خبرگان'!$K57=0,0,IF('امتیاز دهی خبرگان'!$K57=1,'طیف فازی'!$D$2,IF('امتیاز دهی خبرگان'!$K57=2,'طیف فازی'!$D$3,IF('امتیاز دهی خبرگان'!$K57=3,'طیف فازی'!$D$4,IF('امتیاز دهی خبرگان'!$K57=4,'طیف فازی'!$D$5,'طیف فازی'!$D$6)))))</f>
        <v>1</v>
      </c>
      <c r="AD57" s="17">
        <f>IF('امتیاز دهی خبرگان'!$L57=0,0,IF('امتیاز دهی خبرگان'!$L57=1,'طیف فازی'!$B$2,IF('امتیاز دهی خبرگان'!$L57=2,'طیف فازی'!$B$3,IF('امتیاز دهی خبرگان'!$L57=3,'طیف فازی'!$B$4,IF('امتیاز دهی خبرگان'!$L57=4,'طیف فازی'!$B$5,'طیف فازی'!$B$6)))))</f>
        <v>0.5</v>
      </c>
      <c r="AE57" s="18">
        <f>IF('امتیاز دهی خبرگان'!$L57=0,0,IF('امتیاز دهی خبرگان'!$L57=1,'طیف فازی'!$C$2,IF('امتیاز دهی خبرگان'!$L57=2,'طیف فازی'!$C$3,IF('امتیاز دهی خبرگان'!$L57=3,'طیف فازی'!$C$4,IF('امتیاز دهی خبرگان'!$L57=4,'طیف فازی'!$C$5,'طیف فازی'!$C$6)))))</f>
        <v>0.75</v>
      </c>
      <c r="AF57" s="19">
        <f>IF('امتیاز دهی خبرگان'!$L57=0,0,IF('امتیاز دهی خبرگان'!$L57=1,'طیف فازی'!$D$2,IF('امتیاز دهی خبرگان'!$L57=2,'طیف فازی'!$D$3,IF('امتیاز دهی خبرگان'!$L57=3,'طیف فازی'!$D$4,IF('امتیاز دهی خبرگان'!$L57=4,'طیف فازی'!$D$5,'طیف فازی'!$D$6)))))</f>
        <v>1</v>
      </c>
      <c r="AG57" s="17">
        <f>IF('امتیاز دهی خبرگان'!$M57=0,0,IF('امتیاز دهی خبرگان'!$M57=1,'طیف فازی'!$B$2,IF('امتیاز دهی خبرگان'!$M57=2,'طیف فازی'!$B$3,IF('امتیاز دهی خبرگان'!$M57=3,'طیف فازی'!$B$4,IF('امتیاز دهی خبرگان'!$M57=4,'طیف فازی'!$B$5,'طیف فازی'!$B$6)))))</f>
        <v>0.5</v>
      </c>
      <c r="AH57" s="18">
        <f>IF('امتیاز دهی خبرگان'!$M57=0,0,IF('امتیاز دهی خبرگان'!$M57=1,'طیف فازی'!$C$2,IF('امتیاز دهی خبرگان'!$M57=2,'طیف فازی'!$C$3,IF('امتیاز دهی خبرگان'!$M57=3,'طیف فازی'!$C$4,IF('امتیاز دهی خبرگان'!$M57=4,'طیف فازی'!$C$5,'طیف فازی'!$C$6)))))</f>
        <v>0.75</v>
      </c>
      <c r="AI57" s="19">
        <f>IF('امتیاز دهی خبرگان'!$M57=0,0,IF('امتیاز دهی خبرگان'!$M57=1,'طیف فازی'!$D$2,IF('امتیاز دهی خبرگان'!$M57=2,'طیف فازی'!$D$3,IF('امتیاز دهی خبرگان'!$M57=3,'طیف فازی'!$D$4,IF('امتیاز دهی خبرگان'!$M57=4,'طیف فازی'!$D$5,'طیف فازی'!$D$6)))))</f>
        <v>1</v>
      </c>
      <c r="AJ57" s="17">
        <f>IF('امتیاز دهی خبرگان'!$N57=0,0,IF('امتیاز دهی خبرگان'!$N57=1,'طیف فازی'!$B$2,IF('امتیاز دهی خبرگان'!$N57=2,'طیف فازی'!$B$3,IF('امتیاز دهی خبرگان'!$N57=3,'طیف فازی'!$B$4,IF('امتیاز دهی خبرگان'!$N57=4,'طیف فازی'!$B$5,'طیف فازی'!$B$6)))))</f>
        <v>0.5</v>
      </c>
      <c r="AK57" s="18">
        <f>IF('امتیاز دهی خبرگان'!$N57=0,0,IF('امتیاز دهی خبرگان'!$N57=1,'طیف فازی'!$C$2,IF('امتیاز دهی خبرگان'!$N57=2,'طیف فازی'!$C$3,IF('امتیاز دهی خبرگان'!$N57=3,'طیف فازی'!$C$4,IF('امتیاز دهی خبرگان'!$N57=4,'طیف فازی'!$C$5,'طیف فازی'!$C$6)))))</f>
        <v>0.75</v>
      </c>
      <c r="AL57" s="19">
        <f>IF('امتیاز دهی خبرگان'!$N57=0,0,IF('امتیاز دهی خبرگان'!$N57=1,'طیف فازی'!$D$2,IF('امتیاز دهی خبرگان'!$N57=2,'طیف فازی'!$D$3,IF('امتیاز دهی خبرگان'!$N57=3,'طیف فازی'!$D$4,IF('امتیاز دهی خبرگان'!$N57=4,'طیف فازی'!$D$5,'طیف فازی'!$D$6)))))</f>
        <v>1</v>
      </c>
      <c r="AM57" s="23">
        <f t="shared" si="1"/>
        <v>6.25</v>
      </c>
      <c r="AN57" s="23">
        <f t="shared" si="2"/>
        <v>9.25</v>
      </c>
      <c r="AO57" s="24">
        <f t="shared" si="3"/>
        <v>12</v>
      </c>
      <c r="AP57" s="25">
        <f t="shared" si="4"/>
        <v>0.52083333333333337</v>
      </c>
      <c r="AQ57" s="23">
        <f t="shared" si="5"/>
        <v>0.77083333333333337</v>
      </c>
      <c r="AR57" s="24">
        <f t="shared" si="6"/>
        <v>1</v>
      </c>
      <c r="AS57" s="24">
        <f t="shared" si="7"/>
        <v>0.76388888888888895</v>
      </c>
      <c r="AT57" s="24" t="str">
        <f t="shared" si="8"/>
        <v>Pass</v>
      </c>
    </row>
    <row r="58" spans="2:46" ht="23.25" customHeight="1" thickBot="1" x14ac:dyDescent="0.85">
      <c r="B58" s="2">
        <v>56</v>
      </c>
      <c r="C58" s="17">
        <f>IF('امتیاز دهی خبرگان'!$C58=0,0,IF('امتیاز دهی خبرگان'!$C58=1,'طیف فازی'!$B$2,IF('امتیاز دهی خبرگان'!$C58=2,'طیف فازی'!$B$3,IF('امتیاز دهی خبرگان'!$C58=3,'طیف فازی'!$B$4,IF('امتیاز دهی خبرگان'!$C58=4,'طیف فازی'!$B$5,'طیف فازی'!$B$6)))))</f>
        <v>0.75</v>
      </c>
      <c r="D58" s="18">
        <f>IF('امتیاز دهی خبرگان'!$C58=0,0,IF('امتیاز دهی خبرگان'!$C58=1,'طیف فازی'!$C$2,IF('امتیاز دهی خبرگان'!$C58=2,'طیف فازی'!$C$3,IF('امتیاز دهی خبرگان'!$C58=3,'طیف فازی'!$C$4,IF('امتیاز دهی خبرگان'!$C58=4,'طیف فازی'!$C$5,'طیف فازی'!$C$6)))))</f>
        <v>1</v>
      </c>
      <c r="E58" s="19">
        <f>IF('امتیاز دهی خبرگان'!$C58=0,0,IF('امتیاز دهی خبرگان'!$C58=1,'طیف فازی'!$D$2,IF('امتیاز دهی خبرگان'!$C58=2,'طیف فازی'!$D$3,IF('امتیاز دهی خبرگان'!$C58=3,'طیف فازی'!$D$4,IF('امتیاز دهی خبرگان'!$C58=4,'طیف فازی'!$D$5,'طیف فازی'!$D$6)))))</f>
        <v>1</v>
      </c>
      <c r="F58" s="20">
        <f>IF('امتیاز دهی خبرگان'!$D58=0,0,IF('امتیاز دهی خبرگان'!$D58=1,'طیف فازی'!$B$2,IF('امتیاز دهی خبرگان'!$D58=2,'طیف فازی'!$B$3,IF('امتیاز دهی خبرگان'!$D58=3,'طیف فازی'!$B$4,IF('امتیاز دهی خبرگان'!$D58=4,'طیف فازی'!$B$5,'طیف فازی'!$B$6)))))</f>
        <v>0</v>
      </c>
      <c r="G58" s="21">
        <f>IF('امتیاز دهی خبرگان'!$D58=0,0,IF('امتیاز دهی خبرگان'!$D58=1,'طیف فازی'!$D$2,IF('امتیاز دهی خبرگان'!$D58=2,'طیف فازی'!$C$3,IF('امتیاز دهی خبرگان'!$D58=3,'طیف فازی'!$C$4,IF('امتیاز دهی خبرگان'!$D58=4,'طیف فازی'!$C$5,'طیف فازی'!$C$6)))))</f>
        <v>0.25</v>
      </c>
      <c r="H58" s="22">
        <f>IF('امتیاز دهی خبرگان'!$D58=0,0,IF('امتیاز دهی خبرگان'!$D58=1,'طیف فازی'!$D$2,IF('امتیاز دهی خبرگان'!$D58=2,'طیف فازی'!$D$3,IF('امتیاز دهی خبرگان'!$D58=3,'طیف فازی'!$D$4,IF('امتیاز دهی خبرگان'!$D58=4,'طیف فازی'!$D$5,'طیف فازی'!$D$6)))))</f>
        <v>0.5</v>
      </c>
      <c r="I58" s="17">
        <f>IF('امتیاز دهی خبرگان'!$E58=0,0,IF('امتیاز دهی خبرگان'!$E58=1,'طیف فازی'!$B$2,IF('امتیاز دهی خبرگان'!$E58=2,'طیف فازی'!$B$3,IF('امتیاز دهی خبرگان'!$E58=3,'طیف فازی'!$B$4,IF('امتیاز دهی خبرگان'!$E58=4,'طیف فازی'!$B$5,'طیف فازی'!$B$6)))))</f>
        <v>0.5</v>
      </c>
      <c r="J58" s="18">
        <f>IF('امتیاز دهی خبرگان'!$E58=0,0,IF('امتیاز دهی خبرگان'!$E58=1,'طیف فازی'!$C$2,IF('امتیاز دهی خبرگان'!$E58=2,'طیف فازی'!$C$3,IF('امتیاز دهی خبرگان'!$E58=3,'طیف فازی'!$C$4,IF('امتیاز دهی خبرگان'!$E58=4,'طیف فازی'!$C$5,'طیف فازی'!$C$6)))))</f>
        <v>0.75</v>
      </c>
      <c r="K58" s="19">
        <f>IF('امتیاز دهی خبرگان'!$E58=0,0,IF('امتیاز دهی خبرگان'!$E58=1,'طیف فازی'!$D$2,IF('امتیاز دهی خبرگان'!$E58=2,'طیف فازی'!$D$3,IF('امتیاز دهی خبرگان'!$E58=3,'طیف فازی'!$D$4,IF('امتیاز دهی خبرگان'!$E58=4,'طیف فازی'!$D$5,'طیف فازی'!$D$6)))))</f>
        <v>1</v>
      </c>
      <c r="L58" s="17">
        <f>IF('امتیاز دهی خبرگان'!$F58=0,0,IF('امتیاز دهی خبرگان'!$F58=1,'طیف فازی'!$B$2,IF('امتیاز دهی خبرگان'!$F58=2,'طیف فازی'!$B$3,IF('امتیاز دهی خبرگان'!$F58=3,'طیف فازی'!$B$4,IF('امتیاز دهی خبرگان'!$F58=4,'طیف فازی'!$B$5,'طیف فازی'!$B$6)))))</f>
        <v>0.75</v>
      </c>
      <c r="M58" s="18">
        <f>IF('امتیاز دهی خبرگان'!$F58=0,0,IF('امتیاز دهی خبرگان'!$F58=1,'طیف فازی'!$C$2,IF('امتیاز دهی خبرگان'!$F58=2,'طیف فازی'!$C$3,IF('امتیاز دهی خبرگان'!$F58=3,'طیف فازی'!$C$4,IF('امتیاز دهی خبرگان'!$F58=4,'طیف فازی'!$C$5,'طیف فازی'!$C$6)))))</f>
        <v>1</v>
      </c>
      <c r="N58" s="19">
        <f>IF('امتیاز دهی خبرگان'!$F58=0,0,IF('امتیاز دهی خبرگان'!$F58=1,'طیف فازی'!$D$2,IF('امتیاز دهی خبرگان'!$F58=2,'طیف فازی'!$D$3,IF('امتیاز دهی خبرگان'!$F58=3,'طیف فازی'!$D$4,IF('امتیاز دهی خبرگان'!$F58=4,'طیف فازی'!$D$5,'طیف فازی'!$D$6)))))</f>
        <v>1</v>
      </c>
      <c r="O58" s="17">
        <f>IF('امتیاز دهی خبرگان'!$G58=0,0,IF('امتیاز دهی خبرگان'!$G58=1,'طیف فازی'!$B$2,IF('امتیاز دهی خبرگان'!$G58=2,'طیف فازی'!$B$3,IF('امتیاز دهی خبرگان'!$G58=3,'طیف فازی'!$B$4,IF('امتیاز دهی خبرگان'!$G58=4,'طیف فازی'!$B$5,'طیف فازی'!$B$6)))))</f>
        <v>0</v>
      </c>
      <c r="P58" s="18">
        <f>IF('امتیاز دهی خبرگان'!$G58=0,0,IF('امتیاز دهی خبرگان'!$G58=1,'طیف فازی'!$C$2,IF('امتیاز دهی خبرگان'!$G58=2,'طیف فازی'!$C$3,IF('امتیاز دهی خبرگان'!$G58=3,'طیف فازی'!$C$4,IF('امتیاز دهی خبرگان'!$G58=4,'طیف فازی'!$C$5,'طیف فازی'!$C$6)))))</f>
        <v>0</v>
      </c>
      <c r="Q58" s="19">
        <f>IF('امتیاز دهی خبرگان'!$G58=0,0,IF('امتیاز دهی خبرگان'!$G58=1,'طیف فازی'!$D$2,IF('امتیاز دهی خبرگان'!$G58=2,'طیف فازی'!$D$3,IF('امتیاز دهی خبرگان'!$G58=3,'طیف فازی'!$D$4,IF('امتیاز دهی خبرگان'!$G58=4,'طیف فازی'!$D$5,'طیف فازی'!$D$6)))))</f>
        <v>0.25</v>
      </c>
      <c r="R58" s="17">
        <f>IF('امتیاز دهی خبرگان'!$H58=0,0,IF('امتیاز دهی خبرگان'!$H58=1,'طیف فازی'!$B$2,IF('امتیاز دهی خبرگان'!$H58=2,'طیف فازی'!$B$3,IF('امتیاز دهی خبرگان'!$H58=3,'طیف فازی'!$B$4,IF('امتیاز دهی خبرگان'!$H58=4,'طیف فازی'!$B$5,'طیف فازی'!$B$6)))))</f>
        <v>0.25</v>
      </c>
      <c r="S58" s="18">
        <f>IF('امتیاز دهی خبرگان'!$H58=0,0,IF('امتیاز دهی خبرگان'!$H58=1,'طیف فازی'!$C$2,IF('امتیاز دهی خبرگان'!$H58=2,'طیف فازی'!$C$3,IF('امتیاز دهی خبرگان'!$H58=3,'طیف فازی'!$C$4,IF('امتیاز دهی خبرگان'!$H58=4,'طیف فازی'!$C$5,'طیف فازی'!$C$6)))))</f>
        <v>0.5</v>
      </c>
      <c r="T58" s="19">
        <f>IF('امتیاز دهی خبرگان'!$H58=0,0,IF('امتیاز دهی خبرگان'!$H58=1,'طیف فازی'!$D$2,IF('امتیاز دهی خبرگان'!$H58=2,'طیف فازی'!$D$3,IF('امتیاز دهی خبرگان'!$H58=3,'طیف فازی'!$D$4,IF('امتیاز دهی خبرگان'!$H58=4,'طیف فازی'!$D$5,'طیف فازی'!$D$6)))))</f>
        <v>0.75</v>
      </c>
      <c r="U58" s="17">
        <f>IF('امتیاز دهی خبرگان'!$I58=0,0,IF('امتیاز دهی خبرگان'!$I58=1,'طیف فازی'!$B$2,IF('امتیاز دهی خبرگان'!$I58=2,'طیف فازی'!$B$3,IF('امتیاز دهی خبرگان'!$I58=3,'طیف فازی'!$B$4,IF('امتیاز دهی خبرگان'!$I58=4,'طیف فازی'!$B$5,'طیف فازی'!$B$6)))))</f>
        <v>0.25</v>
      </c>
      <c r="V58" s="18">
        <f>IF('امتیاز دهی خبرگان'!$I58=0,0,IF('امتیاز دهی خبرگان'!$I58=1,'طیف فازی'!$C$2,IF('امتیاز دهی خبرگان'!$I58=2,'طیف فازی'!$C$3,IF('امتیاز دهی خبرگان'!$I58=3,'طیف فازی'!$C$4,IF('امتیاز دهی خبرگان'!$I58=4,'طیف فازی'!$C$5,'طیف فازی'!$C$6)))))</f>
        <v>0.5</v>
      </c>
      <c r="W58" s="19">
        <f>IF('امتیاز دهی خبرگان'!$I58=0,0,IF('امتیاز دهی خبرگان'!$I58=1,'طیف فازی'!$D$2,IF('امتیاز دهی خبرگان'!$I58=2,'طیف فازی'!$D$3,IF('امتیاز دهی خبرگان'!$I58=3,'طیف فازی'!$D$4,IF('امتیاز دهی خبرگان'!$I58=4,'طیف فازی'!$D$5,'طیف فازی'!$D$6)))))</f>
        <v>0.75</v>
      </c>
      <c r="X58" s="17">
        <f>IF('امتیاز دهی خبرگان'!$J58=0,0,IF('امتیاز دهی خبرگان'!$J58=1,'طیف فازی'!$B$2,IF('امتیاز دهی خبرگان'!$J58=2,'طیف فازی'!$B$3,IF('امتیاز دهی خبرگان'!$J58=3,'طیف فازی'!$B$4,IF('امتیاز دهی خبرگان'!$J58=4,'طیف فازی'!$B$5,'طیف فازی'!$B$6)))))</f>
        <v>0.25</v>
      </c>
      <c r="Y58" s="18">
        <f>IF('امتیاز دهی خبرگان'!$J58=0,0,IF('امتیاز دهی خبرگان'!$J58=1,'طیف فازی'!$C$2,IF('امتیاز دهی خبرگان'!$J58=2,'طیف فازی'!$C$3,IF('امتیاز دهی خبرگان'!$J58=3,'طیف فازی'!$C$4,IF('امتیاز دهی خبرگان'!$J58=4,'طیف فازی'!$C$5,'طیف فازی'!$C$6)))))</f>
        <v>0.5</v>
      </c>
      <c r="Z58" s="19">
        <f>IF('امتیاز دهی خبرگان'!$J58=0,0,IF('امتیاز دهی خبرگان'!$J58=1,'طیف فازی'!$D$2,IF('امتیاز دهی خبرگان'!$J58=2,'طیف فازی'!$D$3,IF('امتیاز دهی خبرگان'!$J58=3,'طیف فازی'!$D$4,IF('امتیاز دهی خبرگان'!$J58=4,'طیف فازی'!$D$5,'طیف فازی'!$D$6)))))</f>
        <v>0.75</v>
      </c>
      <c r="AA58" s="17">
        <f>IF('امتیاز دهی خبرگان'!$K58=0,0,IF('امتیاز دهی خبرگان'!$K58=1,'طیف فازی'!$B$2,IF('امتیاز دهی خبرگان'!$K58=2,'طیف فازی'!$B$3,IF('امتیاز دهی خبرگان'!$K58=3,'طیف فازی'!$B$4,IF('امتیاز دهی خبرگان'!$K58=4,'طیف فازی'!$B$5,'طیف فازی'!$B$6)))))</f>
        <v>0</v>
      </c>
      <c r="AB58" s="18">
        <f>IF('امتیاز دهی خبرگان'!$K58=0,0,IF('امتیاز دهی خبرگان'!$K58=1,'طیف فازی'!$C$2,IF('امتیاز دهی خبرگان'!$K58=2,'طیف فازی'!$C$3,IF('امتیاز دهی خبرگان'!$K58=3,'طیف فازی'!$C$4,IF('امتیاز دهی خبرگان'!$K58=4,'طیف فازی'!$C$5,'طیف فازی'!$C$6)))))</f>
        <v>0</v>
      </c>
      <c r="AC58" s="19">
        <f>IF('امتیاز دهی خبرگان'!$K58=0,0,IF('امتیاز دهی خبرگان'!$K58=1,'طیف فازی'!$D$2,IF('امتیاز دهی خبرگان'!$K58=2,'طیف فازی'!$D$3,IF('امتیاز دهی خبرگان'!$K58=3,'طیف فازی'!$D$4,IF('امتیاز دهی خبرگان'!$K58=4,'طیف فازی'!$D$5,'طیف فازی'!$D$6)))))</f>
        <v>0.25</v>
      </c>
      <c r="AD58" s="17">
        <f>IF('امتیاز دهی خبرگان'!$L58=0,0,IF('امتیاز دهی خبرگان'!$L58=1,'طیف فازی'!$B$2,IF('امتیاز دهی خبرگان'!$L58=2,'طیف فازی'!$B$3,IF('امتیاز دهی خبرگان'!$L58=3,'طیف فازی'!$B$4,IF('امتیاز دهی خبرگان'!$L58=4,'طیف فازی'!$B$5,'طیف فازی'!$B$6)))))</f>
        <v>0</v>
      </c>
      <c r="AE58" s="18">
        <f>IF('امتیاز دهی خبرگان'!$L58=0,0,IF('امتیاز دهی خبرگان'!$L58=1,'طیف فازی'!$C$2,IF('امتیاز دهی خبرگان'!$L58=2,'طیف فازی'!$C$3,IF('امتیاز دهی خبرگان'!$L58=3,'طیف فازی'!$C$4,IF('امتیاز دهی خبرگان'!$L58=4,'طیف فازی'!$C$5,'طیف فازی'!$C$6)))))</f>
        <v>0</v>
      </c>
      <c r="AF58" s="19">
        <f>IF('امتیاز دهی خبرگان'!$L58=0,0,IF('امتیاز دهی خبرگان'!$L58=1,'طیف فازی'!$D$2,IF('امتیاز دهی خبرگان'!$L58=2,'طیف فازی'!$D$3,IF('امتیاز دهی خبرگان'!$L58=3,'طیف فازی'!$D$4,IF('امتیاز دهی خبرگان'!$L58=4,'طیف فازی'!$D$5,'طیف فازی'!$D$6)))))</f>
        <v>0.25</v>
      </c>
      <c r="AG58" s="17">
        <f>IF('امتیاز دهی خبرگان'!$M58=0,0,IF('امتیاز دهی خبرگان'!$M58=1,'طیف فازی'!$B$2,IF('امتیاز دهی خبرگان'!$M58=2,'طیف فازی'!$B$3,IF('امتیاز دهی خبرگان'!$M58=3,'طیف فازی'!$B$4,IF('امتیاز دهی خبرگان'!$M58=4,'طیف فازی'!$B$5,'طیف فازی'!$B$6)))))</f>
        <v>0</v>
      </c>
      <c r="AH58" s="18">
        <f>IF('امتیاز دهی خبرگان'!$M58=0,0,IF('امتیاز دهی خبرگان'!$M58=1,'طیف فازی'!$C$2,IF('امتیاز دهی خبرگان'!$M58=2,'طیف فازی'!$C$3,IF('امتیاز دهی خبرگان'!$M58=3,'طیف فازی'!$C$4,IF('امتیاز دهی خبرگان'!$M58=4,'طیف فازی'!$C$5,'طیف فازی'!$C$6)))))</f>
        <v>0.25</v>
      </c>
      <c r="AI58" s="19">
        <f>IF('امتیاز دهی خبرگان'!$M58=0,0,IF('امتیاز دهی خبرگان'!$M58=1,'طیف فازی'!$D$2,IF('امتیاز دهی خبرگان'!$M58=2,'طیف فازی'!$D$3,IF('امتیاز دهی خبرگان'!$M58=3,'طیف فازی'!$D$4,IF('امتیاز دهی خبرگان'!$M58=4,'طیف فازی'!$D$5,'طیف فازی'!$D$6)))))</f>
        <v>0.5</v>
      </c>
      <c r="AJ58" s="17">
        <f>IF('امتیاز دهی خبرگان'!$N58=0,0,IF('امتیاز دهی خبرگان'!$N58=1,'طیف فازی'!$B$2,IF('امتیاز دهی خبرگان'!$N58=2,'طیف فازی'!$B$3,IF('امتیاز دهی خبرگان'!$N58=3,'طیف فازی'!$B$4,IF('امتیاز دهی خبرگان'!$N58=4,'طیف فازی'!$B$5,'طیف فازی'!$B$6)))))</f>
        <v>0.25</v>
      </c>
      <c r="AK58" s="18">
        <f>IF('امتیاز دهی خبرگان'!$N58=0,0,IF('امتیاز دهی خبرگان'!$N58=1,'طیف فازی'!$C$2,IF('امتیاز دهی خبرگان'!$N58=2,'طیف فازی'!$C$3,IF('امتیاز دهی خبرگان'!$N58=3,'طیف فازی'!$C$4,IF('امتیاز دهی خبرگان'!$N58=4,'طیف فازی'!$C$5,'طیف فازی'!$C$6)))))</f>
        <v>0.5</v>
      </c>
      <c r="AL58" s="19">
        <f>IF('امتیاز دهی خبرگان'!$N58=0,0,IF('امتیاز دهی خبرگان'!$N58=1,'طیف فازی'!$D$2,IF('امتیاز دهی خبرگان'!$N58=2,'طیف فازی'!$D$3,IF('امتیاز دهی خبرگان'!$N58=3,'طیف فازی'!$D$4,IF('امتیاز دهی خبرگان'!$N58=4,'طیف فازی'!$D$5,'طیف فازی'!$D$6)))))</f>
        <v>0.75</v>
      </c>
      <c r="AM58" s="23">
        <f t="shared" si="1"/>
        <v>3</v>
      </c>
      <c r="AN58" s="23">
        <f t="shared" si="2"/>
        <v>5.25</v>
      </c>
      <c r="AO58" s="24">
        <f t="shared" si="3"/>
        <v>7.75</v>
      </c>
      <c r="AP58" s="25">
        <f t="shared" si="4"/>
        <v>0.25</v>
      </c>
      <c r="AQ58" s="23">
        <f t="shared" si="5"/>
        <v>0.4375</v>
      </c>
      <c r="AR58" s="24">
        <f t="shared" si="6"/>
        <v>0.64583333333333337</v>
      </c>
      <c r="AS58" s="24">
        <f t="shared" si="7"/>
        <v>0.44444444444444448</v>
      </c>
      <c r="AT58" s="24" t="str">
        <f t="shared" si="8"/>
        <v>Not Pass</v>
      </c>
    </row>
    <row r="59" spans="2:46" ht="23.25" customHeight="1" thickBot="1" x14ac:dyDescent="0.85">
      <c r="B59" s="2">
        <v>57</v>
      </c>
      <c r="C59" s="17">
        <f>IF('امتیاز دهی خبرگان'!$C59=0,0,IF('امتیاز دهی خبرگان'!$C59=1,'طیف فازی'!$B$2,IF('امتیاز دهی خبرگان'!$C59=2,'طیف فازی'!$B$3,IF('امتیاز دهی خبرگان'!$C59=3,'طیف فازی'!$B$4,IF('امتیاز دهی خبرگان'!$C59=4,'طیف فازی'!$B$5,'طیف فازی'!$B$6)))))</f>
        <v>0.5</v>
      </c>
      <c r="D59" s="18">
        <f>IF('امتیاز دهی خبرگان'!$C59=0,0,IF('امتیاز دهی خبرگان'!$C59=1,'طیف فازی'!$C$2,IF('امتیاز دهی خبرگان'!$C59=2,'طیف فازی'!$C$3,IF('امتیاز دهی خبرگان'!$C59=3,'طیف فازی'!$C$4,IF('امتیاز دهی خبرگان'!$C59=4,'طیف فازی'!$C$5,'طیف فازی'!$C$6)))))</f>
        <v>0.75</v>
      </c>
      <c r="E59" s="19">
        <f>IF('امتیاز دهی خبرگان'!$C59=0,0,IF('امتیاز دهی خبرگان'!$C59=1,'طیف فازی'!$D$2,IF('امتیاز دهی خبرگان'!$C59=2,'طیف فازی'!$D$3,IF('امتیاز دهی خبرگان'!$C59=3,'طیف فازی'!$D$4,IF('امتیاز دهی خبرگان'!$C59=4,'طیف فازی'!$D$5,'طیف فازی'!$D$6)))))</f>
        <v>1</v>
      </c>
      <c r="F59" s="20">
        <f>IF('امتیاز دهی خبرگان'!$D59=0,0,IF('امتیاز دهی خبرگان'!$D59=1,'طیف فازی'!$B$2,IF('امتیاز دهی خبرگان'!$D59=2,'طیف فازی'!$B$3,IF('امتیاز دهی خبرگان'!$D59=3,'طیف فازی'!$B$4,IF('امتیاز دهی خبرگان'!$D59=4,'طیف فازی'!$B$5,'طیف فازی'!$B$6)))))</f>
        <v>0.25</v>
      </c>
      <c r="G59" s="21">
        <f>IF('امتیاز دهی خبرگان'!$D59=0,0,IF('امتیاز دهی خبرگان'!$D59=1,'طیف فازی'!$D$2,IF('امتیاز دهی خبرگان'!$D59=2,'طیف فازی'!$C$3,IF('امتیاز دهی خبرگان'!$D59=3,'طیف فازی'!$C$4,IF('امتیاز دهی خبرگان'!$D59=4,'طیف فازی'!$C$5,'طیف فازی'!$C$6)))))</f>
        <v>0.5</v>
      </c>
      <c r="H59" s="22">
        <f>IF('امتیاز دهی خبرگان'!$D59=0,0,IF('امتیاز دهی خبرگان'!$D59=1,'طیف فازی'!$D$2,IF('امتیاز دهی خبرگان'!$D59=2,'طیف فازی'!$D$3,IF('امتیاز دهی خبرگان'!$D59=3,'طیف فازی'!$D$4,IF('امتیاز دهی خبرگان'!$D59=4,'طیف فازی'!$D$5,'طیف فازی'!$D$6)))))</f>
        <v>0.75</v>
      </c>
      <c r="I59" s="17">
        <f>IF('امتیاز دهی خبرگان'!$E59=0,0,IF('امتیاز دهی خبرگان'!$E59=1,'طیف فازی'!$B$2,IF('امتیاز دهی خبرگان'!$E59=2,'طیف فازی'!$B$3,IF('امتیاز دهی خبرگان'!$E59=3,'طیف فازی'!$B$4,IF('امتیاز دهی خبرگان'!$E59=4,'طیف فازی'!$B$5,'طیف فازی'!$B$6)))))</f>
        <v>0.75</v>
      </c>
      <c r="J59" s="18">
        <f>IF('امتیاز دهی خبرگان'!$E59=0,0,IF('امتیاز دهی خبرگان'!$E59=1,'طیف فازی'!$C$2,IF('امتیاز دهی خبرگان'!$E59=2,'طیف فازی'!$C$3,IF('امتیاز دهی خبرگان'!$E59=3,'طیف فازی'!$C$4,IF('امتیاز دهی خبرگان'!$E59=4,'طیف فازی'!$C$5,'طیف فازی'!$C$6)))))</f>
        <v>1</v>
      </c>
      <c r="K59" s="19">
        <f>IF('امتیاز دهی خبرگان'!$E59=0,0,IF('امتیاز دهی خبرگان'!$E59=1,'طیف فازی'!$D$2,IF('امتیاز دهی خبرگان'!$E59=2,'طیف فازی'!$D$3,IF('امتیاز دهی خبرگان'!$E59=3,'طیف فازی'!$D$4,IF('امتیاز دهی خبرگان'!$E59=4,'طیف فازی'!$D$5,'طیف فازی'!$D$6)))))</f>
        <v>1</v>
      </c>
      <c r="L59" s="17">
        <f>IF('امتیاز دهی خبرگان'!$F59=0,0,IF('امتیاز دهی خبرگان'!$F59=1,'طیف فازی'!$B$2,IF('امتیاز دهی خبرگان'!$F59=2,'طیف فازی'!$B$3,IF('امتیاز دهی خبرگان'!$F59=3,'طیف فازی'!$B$4,IF('امتیاز دهی خبرگان'!$F59=4,'طیف فازی'!$B$5,'طیف فازی'!$B$6)))))</f>
        <v>0.75</v>
      </c>
      <c r="M59" s="18">
        <f>IF('امتیاز دهی خبرگان'!$F59=0,0,IF('امتیاز دهی خبرگان'!$F59=1,'طیف فازی'!$C$2,IF('امتیاز دهی خبرگان'!$F59=2,'طیف فازی'!$C$3,IF('امتیاز دهی خبرگان'!$F59=3,'طیف فازی'!$C$4,IF('امتیاز دهی خبرگان'!$F59=4,'طیف فازی'!$C$5,'طیف فازی'!$C$6)))))</f>
        <v>1</v>
      </c>
      <c r="N59" s="19">
        <f>IF('امتیاز دهی خبرگان'!$F59=0,0,IF('امتیاز دهی خبرگان'!$F59=1,'طیف فازی'!$D$2,IF('امتیاز دهی خبرگان'!$F59=2,'طیف فازی'!$D$3,IF('امتیاز دهی خبرگان'!$F59=3,'طیف فازی'!$D$4,IF('امتیاز دهی خبرگان'!$F59=4,'طیف فازی'!$D$5,'طیف فازی'!$D$6)))))</f>
        <v>1</v>
      </c>
      <c r="O59" s="17">
        <f>IF('امتیاز دهی خبرگان'!$G59=0,0,IF('امتیاز دهی خبرگان'!$G59=1,'طیف فازی'!$B$2,IF('امتیاز دهی خبرگان'!$G59=2,'طیف فازی'!$B$3,IF('امتیاز دهی خبرگان'!$G59=3,'طیف فازی'!$B$4,IF('امتیاز دهی خبرگان'!$G59=4,'طیف فازی'!$B$5,'طیف فازی'!$B$6)))))</f>
        <v>0</v>
      </c>
      <c r="P59" s="18">
        <f>IF('امتیاز دهی خبرگان'!$G59=0,0,IF('امتیاز دهی خبرگان'!$G59=1,'طیف فازی'!$C$2,IF('امتیاز دهی خبرگان'!$G59=2,'طیف فازی'!$C$3,IF('امتیاز دهی خبرگان'!$G59=3,'طیف فازی'!$C$4,IF('امتیاز دهی خبرگان'!$G59=4,'طیف فازی'!$C$5,'طیف فازی'!$C$6)))))</f>
        <v>0.25</v>
      </c>
      <c r="Q59" s="19">
        <f>IF('امتیاز دهی خبرگان'!$G59=0,0,IF('امتیاز دهی خبرگان'!$G59=1,'طیف فازی'!$D$2,IF('امتیاز دهی خبرگان'!$G59=2,'طیف فازی'!$D$3,IF('امتیاز دهی خبرگان'!$G59=3,'طیف فازی'!$D$4,IF('امتیاز دهی خبرگان'!$G59=4,'طیف فازی'!$D$5,'طیف فازی'!$D$6)))))</f>
        <v>0.5</v>
      </c>
      <c r="R59" s="17">
        <f>IF('امتیاز دهی خبرگان'!$H59=0,0,IF('امتیاز دهی خبرگان'!$H59=1,'طیف فازی'!$B$2,IF('امتیاز دهی خبرگان'!$H59=2,'طیف فازی'!$B$3,IF('امتیاز دهی خبرگان'!$H59=3,'طیف فازی'!$B$4,IF('امتیاز دهی خبرگان'!$H59=4,'طیف فازی'!$B$5,'طیف فازی'!$B$6)))))</f>
        <v>0.25</v>
      </c>
      <c r="S59" s="18">
        <f>IF('امتیاز دهی خبرگان'!$H59=0,0,IF('امتیاز دهی خبرگان'!$H59=1,'طیف فازی'!$C$2,IF('امتیاز دهی خبرگان'!$H59=2,'طیف فازی'!$C$3,IF('امتیاز دهی خبرگان'!$H59=3,'طیف فازی'!$C$4,IF('امتیاز دهی خبرگان'!$H59=4,'طیف فازی'!$C$5,'طیف فازی'!$C$6)))))</f>
        <v>0.5</v>
      </c>
      <c r="T59" s="19">
        <f>IF('امتیاز دهی خبرگان'!$H59=0,0,IF('امتیاز دهی خبرگان'!$H59=1,'طیف فازی'!$D$2,IF('امتیاز دهی خبرگان'!$H59=2,'طیف فازی'!$D$3,IF('امتیاز دهی خبرگان'!$H59=3,'طیف فازی'!$D$4,IF('امتیاز دهی خبرگان'!$H59=4,'طیف فازی'!$D$5,'طیف فازی'!$D$6)))))</f>
        <v>0.75</v>
      </c>
      <c r="U59" s="17">
        <f>IF('امتیاز دهی خبرگان'!$I59=0,0,IF('امتیاز دهی خبرگان'!$I59=1,'طیف فازی'!$B$2,IF('امتیاز دهی خبرگان'!$I59=2,'طیف فازی'!$B$3,IF('امتیاز دهی خبرگان'!$I59=3,'طیف فازی'!$B$4,IF('امتیاز دهی خبرگان'!$I59=4,'طیف فازی'!$B$5,'طیف فازی'!$B$6)))))</f>
        <v>0.5</v>
      </c>
      <c r="V59" s="18">
        <f>IF('امتیاز دهی خبرگان'!$I59=0,0,IF('امتیاز دهی خبرگان'!$I59=1,'طیف فازی'!$C$2,IF('امتیاز دهی خبرگان'!$I59=2,'طیف فازی'!$C$3,IF('امتیاز دهی خبرگان'!$I59=3,'طیف فازی'!$C$4,IF('امتیاز دهی خبرگان'!$I59=4,'طیف فازی'!$C$5,'طیف فازی'!$C$6)))))</f>
        <v>0.75</v>
      </c>
      <c r="W59" s="19">
        <f>IF('امتیاز دهی خبرگان'!$I59=0,0,IF('امتیاز دهی خبرگان'!$I59=1,'طیف فازی'!$D$2,IF('امتیاز دهی خبرگان'!$I59=2,'طیف فازی'!$D$3,IF('امتیاز دهی خبرگان'!$I59=3,'طیف فازی'!$D$4,IF('امتیاز دهی خبرگان'!$I59=4,'طیف فازی'!$D$5,'طیف فازی'!$D$6)))))</f>
        <v>1</v>
      </c>
      <c r="X59" s="17">
        <f>IF('امتیاز دهی خبرگان'!$J59=0,0,IF('امتیاز دهی خبرگان'!$J59=1,'طیف فازی'!$B$2,IF('امتیاز دهی خبرگان'!$J59=2,'طیف فازی'!$B$3,IF('امتیاز دهی خبرگان'!$J59=3,'طیف فازی'!$B$4,IF('امتیاز دهی خبرگان'!$J59=4,'طیف فازی'!$B$5,'طیف فازی'!$B$6)))))</f>
        <v>0.5</v>
      </c>
      <c r="Y59" s="18">
        <f>IF('امتیاز دهی خبرگان'!$J59=0,0,IF('امتیاز دهی خبرگان'!$J59=1,'طیف فازی'!$C$2,IF('امتیاز دهی خبرگان'!$J59=2,'طیف فازی'!$C$3,IF('امتیاز دهی خبرگان'!$J59=3,'طیف فازی'!$C$4,IF('امتیاز دهی خبرگان'!$J59=4,'طیف فازی'!$C$5,'طیف فازی'!$C$6)))))</f>
        <v>0.75</v>
      </c>
      <c r="Z59" s="19">
        <f>IF('امتیاز دهی خبرگان'!$J59=0,0,IF('امتیاز دهی خبرگان'!$J59=1,'طیف فازی'!$D$2,IF('امتیاز دهی خبرگان'!$J59=2,'طیف فازی'!$D$3,IF('امتیاز دهی خبرگان'!$J59=3,'طیف فازی'!$D$4,IF('امتیاز دهی خبرگان'!$J59=4,'طیف فازی'!$D$5,'طیف فازی'!$D$6)))))</f>
        <v>1</v>
      </c>
      <c r="AA59" s="17">
        <f>IF('امتیاز دهی خبرگان'!$K59=0,0,IF('امتیاز دهی خبرگان'!$K59=1,'طیف فازی'!$B$2,IF('امتیاز دهی خبرگان'!$K59=2,'طیف فازی'!$B$3,IF('امتیاز دهی خبرگان'!$K59=3,'طیف فازی'!$B$4,IF('امتیاز دهی خبرگان'!$K59=4,'طیف فازی'!$B$5,'طیف فازی'!$B$6)))))</f>
        <v>0</v>
      </c>
      <c r="AB59" s="18">
        <f>IF('امتیاز دهی خبرگان'!$K59=0,0,IF('امتیاز دهی خبرگان'!$K59=1,'طیف فازی'!$C$2,IF('امتیاز دهی خبرگان'!$K59=2,'طیف فازی'!$C$3,IF('امتیاز دهی خبرگان'!$K59=3,'طیف فازی'!$C$4,IF('امتیاز دهی خبرگان'!$K59=4,'طیف فازی'!$C$5,'طیف فازی'!$C$6)))))</f>
        <v>0.25</v>
      </c>
      <c r="AC59" s="19">
        <f>IF('امتیاز دهی خبرگان'!$K59=0,0,IF('امتیاز دهی خبرگان'!$K59=1,'طیف فازی'!$D$2,IF('امتیاز دهی خبرگان'!$K59=2,'طیف فازی'!$D$3,IF('امتیاز دهی خبرگان'!$K59=3,'طیف فازی'!$D$4,IF('امتیاز دهی خبرگان'!$K59=4,'طیف فازی'!$D$5,'طیف فازی'!$D$6)))))</f>
        <v>0.5</v>
      </c>
      <c r="AD59" s="17">
        <f>IF('امتیاز دهی خبرگان'!$L59=0,0,IF('امتیاز دهی خبرگان'!$L59=1,'طیف فازی'!$B$2,IF('امتیاز دهی خبرگان'!$L59=2,'طیف فازی'!$B$3,IF('امتیاز دهی خبرگان'!$L59=3,'طیف فازی'!$B$4,IF('امتیاز دهی خبرگان'!$L59=4,'طیف فازی'!$B$5,'طیف فازی'!$B$6)))))</f>
        <v>0</v>
      </c>
      <c r="AE59" s="18">
        <f>IF('امتیاز دهی خبرگان'!$L59=0,0,IF('امتیاز دهی خبرگان'!$L59=1,'طیف فازی'!$C$2,IF('امتیاز دهی خبرگان'!$L59=2,'طیف فازی'!$C$3,IF('امتیاز دهی خبرگان'!$L59=3,'طیف فازی'!$C$4,IF('امتیاز دهی خبرگان'!$L59=4,'طیف فازی'!$C$5,'طیف فازی'!$C$6)))))</f>
        <v>0</v>
      </c>
      <c r="AF59" s="19">
        <f>IF('امتیاز دهی خبرگان'!$L59=0,0,IF('امتیاز دهی خبرگان'!$L59=1,'طیف فازی'!$D$2,IF('امتیاز دهی خبرگان'!$L59=2,'طیف فازی'!$D$3,IF('امتیاز دهی خبرگان'!$L59=3,'طیف فازی'!$D$4,IF('امتیاز دهی خبرگان'!$L59=4,'طیف فازی'!$D$5,'طیف فازی'!$D$6)))))</f>
        <v>0.25</v>
      </c>
      <c r="AG59" s="17">
        <f>IF('امتیاز دهی خبرگان'!$M59=0,0,IF('امتیاز دهی خبرگان'!$M59=1,'طیف فازی'!$B$2,IF('امتیاز دهی خبرگان'!$M59=2,'طیف فازی'!$B$3,IF('امتیاز دهی خبرگان'!$M59=3,'طیف فازی'!$B$4,IF('امتیاز دهی خبرگان'!$M59=4,'طیف فازی'!$B$5,'طیف فازی'!$B$6)))))</f>
        <v>0</v>
      </c>
      <c r="AH59" s="18">
        <f>IF('امتیاز دهی خبرگان'!$M59=0,0,IF('امتیاز دهی خبرگان'!$M59=1,'طیف فازی'!$C$2,IF('امتیاز دهی خبرگان'!$M59=2,'طیف فازی'!$C$3,IF('امتیاز دهی خبرگان'!$M59=3,'طیف فازی'!$C$4,IF('امتیاز دهی خبرگان'!$M59=4,'طیف فازی'!$C$5,'طیف فازی'!$C$6)))))</f>
        <v>0.25</v>
      </c>
      <c r="AI59" s="19">
        <f>IF('امتیاز دهی خبرگان'!$M59=0,0,IF('امتیاز دهی خبرگان'!$M59=1,'طیف فازی'!$D$2,IF('امتیاز دهی خبرگان'!$M59=2,'طیف فازی'!$D$3,IF('امتیاز دهی خبرگان'!$M59=3,'طیف فازی'!$D$4,IF('امتیاز دهی خبرگان'!$M59=4,'طیف فازی'!$D$5,'طیف فازی'!$D$6)))))</f>
        <v>0.5</v>
      </c>
      <c r="AJ59" s="17">
        <f>IF('امتیاز دهی خبرگان'!$N59=0,0,IF('امتیاز دهی خبرگان'!$N59=1,'طیف فازی'!$B$2,IF('امتیاز دهی خبرگان'!$N59=2,'طیف فازی'!$B$3,IF('امتیاز دهی خبرگان'!$N59=3,'طیف فازی'!$B$4,IF('امتیاز دهی خبرگان'!$N59=4,'طیف فازی'!$B$5,'طیف فازی'!$B$6)))))</f>
        <v>0.25</v>
      </c>
      <c r="AK59" s="18">
        <f>IF('امتیاز دهی خبرگان'!$N59=0,0,IF('امتیاز دهی خبرگان'!$N59=1,'طیف فازی'!$C$2,IF('امتیاز دهی خبرگان'!$N59=2,'طیف فازی'!$C$3,IF('امتیاز دهی خبرگان'!$N59=3,'طیف فازی'!$C$4,IF('امتیاز دهی خبرگان'!$N59=4,'طیف فازی'!$C$5,'طیف فازی'!$C$6)))))</f>
        <v>0.5</v>
      </c>
      <c r="AL59" s="19">
        <f>IF('امتیاز دهی خبرگان'!$N59=0,0,IF('امتیاز دهی خبرگان'!$N59=1,'طیف فازی'!$D$2,IF('امتیاز دهی خبرگان'!$N59=2,'طیف فازی'!$D$3,IF('امتیاز دهی خبرگان'!$N59=3,'طیف فازی'!$D$4,IF('امتیاز دهی خبرگان'!$N59=4,'طیف فازی'!$D$5,'طیف فازی'!$D$6)))))</f>
        <v>0.75</v>
      </c>
      <c r="AM59" s="23">
        <f t="shared" si="1"/>
        <v>3.75</v>
      </c>
      <c r="AN59" s="23">
        <f t="shared" si="2"/>
        <v>6.5</v>
      </c>
      <c r="AO59" s="24">
        <f t="shared" si="3"/>
        <v>9</v>
      </c>
      <c r="AP59" s="25">
        <f t="shared" si="4"/>
        <v>0.3125</v>
      </c>
      <c r="AQ59" s="23">
        <f t="shared" si="5"/>
        <v>0.54166666666666663</v>
      </c>
      <c r="AR59" s="24">
        <f t="shared" si="6"/>
        <v>0.75</v>
      </c>
      <c r="AS59" s="24">
        <f t="shared" si="7"/>
        <v>0.53472222222222221</v>
      </c>
      <c r="AT59" s="24" t="str">
        <f t="shared" si="8"/>
        <v>Not Pass</v>
      </c>
    </row>
    <row r="60" spans="2:46" ht="23.25" customHeight="1" thickBot="1" x14ac:dyDescent="0.85">
      <c r="B60" s="2">
        <v>58</v>
      </c>
      <c r="C60" s="17">
        <f>IF('امتیاز دهی خبرگان'!$C60=0,0,IF('امتیاز دهی خبرگان'!$C60=1,'طیف فازی'!$B$2,IF('امتیاز دهی خبرگان'!$C60=2,'طیف فازی'!$B$3,IF('امتیاز دهی خبرگان'!$C60=3,'طیف فازی'!$B$4,IF('امتیاز دهی خبرگان'!$C60=4,'طیف فازی'!$B$5,'طیف فازی'!$B$6)))))</f>
        <v>0.75</v>
      </c>
      <c r="D60" s="18">
        <f>IF('امتیاز دهی خبرگان'!$C60=0,0,IF('امتیاز دهی خبرگان'!$C60=1,'طیف فازی'!$C$2,IF('امتیاز دهی خبرگان'!$C60=2,'طیف فازی'!$C$3,IF('امتیاز دهی خبرگان'!$C60=3,'طیف فازی'!$C$4,IF('امتیاز دهی خبرگان'!$C60=4,'طیف فازی'!$C$5,'طیف فازی'!$C$6)))))</f>
        <v>1</v>
      </c>
      <c r="E60" s="19">
        <f>IF('امتیاز دهی خبرگان'!$C60=0,0,IF('امتیاز دهی خبرگان'!$C60=1,'طیف فازی'!$D$2,IF('امتیاز دهی خبرگان'!$C60=2,'طیف فازی'!$D$3,IF('امتیاز دهی خبرگان'!$C60=3,'طیف فازی'!$D$4,IF('امتیاز دهی خبرگان'!$C60=4,'طیف فازی'!$D$5,'طیف فازی'!$D$6)))))</f>
        <v>1</v>
      </c>
      <c r="F60" s="20">
        <f>IF('امتیاز دهی خبرگان'!$D60=0,0,IF('امتیاز دهی خبرگان'!$D60=1,'طیف فازی'!$B$2,IF('امتیاز دهی خبرگان'!$D60=2,'طیف فازی'!$B$3,IF('امتیاز دهی خبرگان'!$D60=3,'طیف فازی'!$B$4,IF('امتیاز دهی خبرگان'!$D60=4,'طیف فازی'!$B$5,'طیف فازی'!$B$6)))))</f>
        <v>0</v>
      </c>
      <c r="G60" s="21">
        <f>IF('امتیاز دهی خبرگان'!$D60=0,0,IF('امتیاز دهی خبرگان'!$D60=1,'طیف فازی'!$D$2,IF('امتیاز دهی خبرگان'!$D60=2,'طیف فازی'!$C$3,IF('امتیاز دهی خبرگان'!$D60=3,'طیف فازی'!$C$4,IF('امتیاز دهی خبرگان'!$D60=4,'طیف فازی'!$C$5,'طیف فازی'!$C$6)))))</f>
        <v>0.25</v>
      </c>
      <c r="H60" s="22">
        <f>IF('امتیاز دهی خبرگان'!$D60=0,0,IF('امتیاز دهی خبرگان'!$D60=1,'طیف فازی'!$D$2,IF('امتیاز دهی خبرگان'!$D60=2,'طیف فازی'!$D$3,IF('امتیاز دهی خبرگان'!$D60=3,'طیف فازی'!$D$4,IF('امتیاز دهی خبرگان'!$D60=4,'طیف فازی'!$D$5,'طیف فازی'!$D$6)))))</f>
        <v>0.25</v>
      </c>
      <c r="I60" s="17">
        <f>IF('امتیاز دهی خبرگان'!$E60=0,0,IF('امتیاز دهی خبرگان'!$E60=1,'طیف فازی'!$B$2,IF('امتیاز دهی خبرگان'!$E60=2,'طیف فازی'!$B$3,IF('امتیاز دهی خبرگان'!$E60=3,'طیف فازی'!$B$4,IF('امتیاز دهی خبرگان'!$E60=4,'طیف فازی'!$B$5,'طیف فازی'!$B$6)))))</f>
        <v>0.75</v>
      </c>
      <c r="J60" s="18">
        <f>IF('امتیاز دهی خبرگان'!$E60=0,0,IF('امتیاز دهی خبرگان'!$E60=1,'طیف فازی'!$C$2,IF('امتیاز دهی خبرگان'!$E60=2,'طیف فازی'!$C$3,IF('امتیاز دهی خبرگان'!$E60=3,'طیف فازی'!$C$4,IF('امتیاز دهی خبرگان'!$E60=4,'طیف فازی'!$C$5,'طیف فازی'!$C$6)))))</f>
        <v>1</v>
      </c>
      <c r="K60" s="19">
        <f>IF('امتیاز دهی خبرگان'!$E60=0,0,IF('امتیاز دهی خبرگان'!$E60=1,'طیف فازی'!$D$2,IF('امتیاز دهی خبرگان'!$E60=2,'طیف فازی'!$D$3,IF('امتیاز دهی خبرگان'!$E60=3,'طیف فازی'!$D$4,IF('امتیاز دهی خبرگان'!$E60=4,'طیف فازی'!$D$5,'طیف فازی'!$D$6)))))</f>
        <v>1</v>
      </c>
      <c r="L60" s="17">
        <f>IF('امتیاز دهی خبرگان'!$F60=0,0,IF('امتیاز دهی خبرگان'!$F60=1,'طیف فازی'!$B$2,IF('امتیاز دهی خبرگان'!$F60=2,'طیف فازی'!$B$3,IF('امتیاز دهی خبرگان'!$F60=3,'طیف فازی'!$B$4,IF('امتیاز دهی خبرگان'!$F60=4,'طیف فازی'!$B$5,'طیف فازی'!$B$6)))))</f>
        <v>0.75</v>
      </c>
      <c r="M60" s="18">
        <f>IF('امتیاز دهی خبرگان'!$F60=0,0,IF('امتیاز دهی خبرگان'!$F60=1,'طیف فازی'!$C$2,IF('امتیاز دهی خبرگان'!$F60=2,'طیف فازی'!$C$3,IF('امتیاز دهی خبرگان'!$F60=3,'طیف فازی'!$C$4,IF('امتیاز دهی خبرگان'!$F60=4,'طیف فازی'!$C$5,'طیف فازی'!$C$6)))))</f>
        <v>1</v>
      </c>
      <c r="N60" s="19">
        <f>IF('امتیاز دهی خبرگان'!$F60=0,0,IF('امتیاز دهی خبرگان'!$F60=1,'طیف فازی'!$D$2,IF('امتیاز دهی خبرگان'!$F60=2,'طیف فازی'!$D$3,IF('امتیاز دهی خبرگان'!$F60=3,'طیف فازی'!$D$4,IF('امتیاز دهی خبرگان'!$F60=4,'طیف فازی'!$D$5,'طیف فازی'!$D$6)))))</f>
        <v>1</v>
      </c>
      <c r="O60" s="17">
        <f>IF('امتیاز دهی خبرگان'!$G60=0,0,IF('امتیاز دهی خبرگان'!$G60=1,'طیف فازی'!$B$2,IF('امتیاز دهی خبرگان'!$G60=2,'طیف فازی'!$B$3,IF('امتیاز دهی خبرگان'!$G60=3,'طیف فازی'!$B$4,IF('امتیاز دهی خبرگان'!$G60=4,'طیف فازی'!$B$5,'طیف فازی'!$B$6)))))</f>
        <v>0</v>
      </c>
      <c r="P60" s="18">
        <f>IF('امتیاز دهی خبرگان'!$G60=0,0,IF('امتیاز دهی خبرگان'!$G60=1,'طیف فازی'!$C$2,IF('امتیاز دهی خبرگان'!$G60=2,'طیف فازی'!$C$3,IF('امتیاز دهی خبرگان'!$G60=3,'طیف فازی'!$C$4,IF('امتیاز دهی خبرگان'!$G60=4,'طیف فازی'!$C$5,'طیف فازی'!$C$6)))))</f>
        <v>0.25</v>
      </c>
      <c r="Q60" s="19">
        <f>IF('امتیاز دهی خبرگان'!$G60=0,0,IF('امتیاز دهی خبرگان'!$G60=1,'طیف فازی'!$D$2,IF('امتیاز دهی خبرگان'!$G60=2,'طیف فازی'!$D$3,IF('امتیاز دهی خبرگان'!$G60=3,'طیف فازی'!$D$4,IF('امتیاز دهی خبرگان'!$G60=4,'طیف فازی'!$D$5,'طیف فازی'!$D$6)))))</f>
        <v>0.5</v>
      </c>
      <c r="R60" s="17">
        <f>IF('امتیاز دهی خبرگان'!$H60=0,0,IF('امتیاز دهی خبرگان'!$H60=1,'طیف فازی'!$B$2,IF('امتیاز دهی خبرگان'!$H60=2,'طیف فازی'!$B$3,IF('امتیاز دهی خبرگان'!$H60=3,'طیف فازی'!$B$4,IF('امتیاز دهی خبرگان'!$H60=4,'طیف فازی'!$B$5,'طیف فازی'!$B$6)))))</f>
        <v>0.5</v>
      </c>
      <c r="S60" s="18">
        <f>IF('امتیاز دهی خبرگان'!$H60=0,0,IF('امتیاز دهی خبرگان'!$H60=1,'طیف فازی'!$C$2,IF('امتیاز دهی خبرگان'!$H60=2,'طیف فازی'!$C$3,IF('امتیاز دهی خبرگان'!$H60=3,'طیف فازی'!$C$4,IF('امتیاز دهی خبرگان'!$H60=4,'طیف فازی'!$C$5,'طیف فازی'!$C$6)))))</f>
        <v>0.75</v>
      </c>
      <c r="T60" s="19">
        <f>IF('امتیاز دهی خبرگان'!$H60=0,0,IF('امتیاز دهی خبرگان'!$H60=1,'طیف فازی'!$D$2,IF('امتیاز دهی خبرگان'!$H60=2,'طیف فازی'!$D$3,IF('امتیاز دهی خبرگان'!$H60=3,'طیف فازی'!$D$4,IF('امتیاز دهی خبرگان'!$H60=4,'طیف فازی'!$D$5,'طیف فازی'!$D$6)))))</f>
        <v>1</v>
      </c>
      <c r="U60" s="17">
        <f>IF('امتیاز دهی خبرگان'!$I60=0,0,IF('امتیاز دهی خبرگان'!$I60=1,'طیف فازی'!$B$2,IF('امتیاز دهی خبرگان'!$I60=2,'طیف فازی'!$B$3,IF('امتیاز دهی خبرگان'!$I60=3,'طیف فازی'!$B$4,IF('امتیاز دهی خبرگان'!$I60=4,'طیف فازی'!$B$5,'طیف فازی'!$B$6)))))</f>
        <v>0.75</v>
      </c>
      <c r="V60" s="18">
        <f>IF('امتیاز دهی خبرگان'!$I60=0,0,IF('امتیاز دهی خبرگان'!$I60=1,'طیف فازی'!$C$2,IF('امتیاز دهی خبرگان'!$I60=2,'طیف فازی'!$C$3,IF('امتیاز دهی خبرگان'!$I60=3,'طیف فازی'!$C$4,IF('امتیاز دهی خبرگان'!$I60=4,'طیف فازی'!$C$5,'طیف فازی'!$C$6)))))</f>
        <v>1</v>
      </c>
      <c r="W60" s="19">
        <f>IF('امتیاز دهی خبرگان'!$I60=0,0,IF('امتیاز دهی خبرگان'!$I60=1,'طیف فازی'!$D$2,IF('امتیاز دهی خبرگان'!$I60=2,'طیف فازی'!$D$3,IF('امتیاز دهی خبرگان'!$I60=3,'طیف فازی'!$D$4,IF('امتیاز دهی خبرگان'!$I60=4,'طیف فازی'!$D$5,'طیف فازی'!$D$6)))))</f>
        <v>1</v>
      </c>
      <c r="X60" s="17">
        <f>IF('امتیاز دهی خبرگان'!$J60=0,0,IF('امتیاز دهی خبرگان'!$J60=1,'طیف فازی'!$B$2,IF('امتیاز دهی خبرگان'!$J60=2,'طیف فازی'!$B$3,IF('امتیاز دهی خبرگان'!$J60=3,'طیف فازی'!$B$4,IF('امتیاز دهی خبرگان'!$J60=4,'طیف فازی'!$B$5,'طیف فازی'!$B$6)))))</f>
        <v>0.5</v>
      </c>
      <c r="Y60" s="18">
        <f>IF('امتیاز دهی خبرگان'!$J60=0,0,IF('امتیاز دهی خبرگان'!$J60=1,'طیف فازی'!$C$2,IF('امتیاز دهی خبرگان'!$J60=2,'طیف فازی'!$C$3,IF('امتیاز دهی خبرگان'!$J60=3,'طیف فازی'!$C$4,IF('امتیاز دهی خبرگان'!$J60=4,'طیف فازی'!$C$5,'طیف فازی'!$C$6)))))</f>
        <v>0.75</v>
      </c>
      <c r="Z60" s="19">
        <f>IF('امتیاز دهی خبرگان'!$J60=0,0,IF('امتیاز دهی خبرگان'!$J60=1,'طیف فازی'!$D$2,IF('امتیاز دهی خبرگان'!$J60=2,'طیف فازی'!$D$3,IF('امتیاز دهی خبرگان'!$J60=3,'طیف فازی'!$D$4,IF('امتیاز دهی خبرگان'!$J60=4,'طیف فازی'!$D$5,'طیف فازی'!$D$6)))))</f>
        <v>1</v>
      </c>
      <c r="AA60" s="17">
        <f>IF('امتیاز دهی خبرگان'!$K60=0,0,IF('امتیاز دهی خبرگان'!$K60=1,'طیف فازی'!$B$2,IF('امتیاز دهی خبرگان'!$K60=2,'طیف فازی'!$B$3,IF('امتیاز دهی خبرگان'!$K60=3,'طیف فازی'!$B$4,IF('امتیاز دهی خبرگان'!$K60=4,'طیف فازی'!$B$5,'طیف فازی'!$B$6)))))</f>
        <v>0</v>
      </c>
      <c r="AB60" s="18">
        <f>IF('امتیاز دهی خبرگان'!$K60=0,0,IF('امتیاز دهی خبرگان'!$K60=1,'طیف فازی'!$C$2,IF('امتیاز دهی خبرگان'!$K60=2,'طیف فازی'!$C$3,IF('امتیاز دهی خبرگان'!$K60=3,'طیف فازی'!$C$4,IF('امتیاز دهی خبرگان'!$K60=4,'طیف فازی'!$C$5,'طیف فازی'!$C$6)))))</f>
        <v>0.25</v>
      </c>
      <c r="AC60" s="19">
        <f>IF('امتیاز دهی خبرگان'!$K60=0,0,IF('امتیاز دهی خبرگان'!$K60=1,'طیف فازی'!$D$2,IF('امتیاز دهی خبرگان'!$K60=2,'طیف فازی'!$D$3,IF('امتیاز دهی خبرگان'!$K60=3,'طیف فازی'!$D$4,IF('امتیاز دهی خبرگان'!$K60=4,'طیف فازی'!$D$5,'طیف فازی'!$D$6)))))</f>
        <v>0.5</v>
      </c>
      <c r="AD60" s="17">
        <f>IF('امتیاز دهی خبرگان'!$L60=0,0,IF('امتیاز دهی خبرگان'!$L60=1,'طیف فازی'!$B$2,IF('امتیاز دهی خبرگان'!$L60=2,'طیف فازی'!$B$3,IF('امتیاز دهی خبرگان'!$L60=3,'طیف فازی'!$B$4,IF('امتیاز دهی خبرگان'!$L60=4,'طیف فازی'!$B$5,'طیف فازی'!$B$6)))))</f>
        <v>0</v>
      </c>
      <c r="AE60" s="18">
        <f>IF('امتیاز دهی خبرگان'!$L60=0,0,IF('امتیاز دهی خبرگان'!$L60=1,'طیف فازی'!$C$2,IF('امتیاز دهی خبرگان'!$L60=2,'طیف فازی'!$C$3,IF('امتیاز دهی خبرگان'!$L60=3,'طیف فازی'!$C$4,IF('امتیاز دهی خبرگان'!$L60=4,'طیف فازی'!$C$5,'طیف فازی'!$C$6)))))</f>
        <v>0.25</v>
      </c>
      <c r="AF60" s="19">
        <f>IF('امتیاز دهی خبرگان'!$L60=0,0,IF('امتیاز دهی خبرگان'!$L60=1,'طیف فازی'!$D$2,IF('امتیاز دهی خبرگان'!$L60=2,'طیف فازی'!$D$3,IF('امتیاز دهی خبرگان'!$L60=3,'طیف فازی'!$D$4,IF('امتیاز دهی خبرگان'!$L60=4,'طیف فازی'!$D$5,'طیف فازی'!$D$6)))))</f>
        <v>0.5</v>
      </c>
      <c r="AG60" s="17">
        <f>IF('امتیاز دهی خبرگان'!$M60=0,0,IF('امتیاز دهی خبرگان'!$M60=1,'طیف فازی'!$B$2,IF('امتیاز دهی خبرگان'!$M60=2,'طیف فازی'!$B$3,IF('امتیاز دهی خبرگان'!$M60=3,'طیف فازی'!$B$4,IF('امتیاز دهی خبرگان'!$M60=4,'طیف فازی'!$B$5,'طیف فازی'!$B$6)))))</f>
        <v>0</v>
      </c>
      <c r="AH60" s="18">
        <f>IF('امتیاز دهی خبرگان'!$M60=0,0,IF('امتیاز دهی خبرگان'!$M60=1,'طیف فازی'!$C$2,IF('امتیاز دهی خبرگان'!$M60=2,'طیف فازی'!$C$3,IF('امتیاز دهی خبرگان'!$M60=3,'طیف فازی'!$C$4,IF('امتیاز دهی خبرگان'!$M60=4,'طیف فازی'!$C$5,'طیف فازی'!$C$6)))))</f>
        <v>0.25</v>
      </c>
      <c r="AI60" s="19">
        <f>IF('امتیاز دهی خبرگان'!$M60=0,0,IF('امتیاز دهی خبرگان'!$M60=1,'طیف فازی'!$D$2,IF('امتیاز دهی خبرگان'!$M60=2,'طیف فازی'!$D$3,IF('امتیاز دهی خبرگان'!$M60=3,'طیف فازی'!$D$4,IF('امتیاز دهی خبرگان'!$M60=4,'طیف فازی'!$D$5,'طیف فازی'!$D$6)))))</f>
        <v>0.5</v>
      </c>
      <c r="AJ60" s="17">
        <f>IF('امتیاز دهی خبرگان'!$N60=0,0,IF('امتیاز دهی خبرگان'!$N60=1,'طیف فازی'!$B$2,IF('امتیاز دهی خبرگان'!$N60=2,'طیف فازی'!$B$3,IF('امتیاز دهی خبرگان'!$N60=3,'طیف فازی'!$B$4,IF('امتیاز دهی خبرگان'!$N60=4,'طیف فازی'!$B$5,'طیف فازی'!$B$6)))))</f>
        <v>0.5</v>
      </c>
      <c r="AK60" s="18">
        <f>IF('امتیاز دهی خبرگان'!$N60=0,0,IF('امتیاز دهی خبرگان'!$N60=1,'طیف فازی'!$C$2,IF('امتیاز دهی خبرگان'!$N60=2,'طیف فازی'!$C$3,IF('امتیاز دهی خبرگان'!$N60=3,'طیف فازی'!$C$4,IF('امتیاز دهی خبرگان'!$N60=4,'طیف فازی'!$C$5,'طیف فازی'!$C$6)))))</f>
        <v>0.75</v>
      </c>
      <c r="AL60" s="19">
        <f>IF('امتیاز دهی خبرگان'!$N60=0,0,IF('امتیاز دهی خبرگان'!$N60=1,'طیف فازی'!$D$2,IF('امتیاز دهی خبرگان'!$N60=2,'طیف فازی'!$D$3,IF('امتیاز دهی خبرگان'!$N60=3,'طیف فازی'!$D$4,IF('امتیاز دهی خبرگان'!$N60=4,'طیف فازی'!$D$5,'طیف فازی'!$D$6)))))</f>
        <v>1</v>
      </c>
      <c r="AM60" s="23">
        <f t="shared" si="1"/>
        <v>4.5</v>
      </c>
      <c r="AN60" s="23">
        <f t="shared" si="2"/>
        <v>7.5</v>
      </c>
      <c r="AO60" s="24">
        <f t="shared" si="3"/>
        <v>9.25</v>
      </c>
      <c r="AP60" s="25">
        <f t="shared" si="4"/>
        <v>0.375</v>
      </c>
      <c r="AQ60" s="23">
        <f t="shared" si="5"/>
        <v>0.625</v>
      </c>
      <c r="AR60" s="24">
        <f t="shared" si="6"/>
        <v>0.77083333333333337</v>
      </c>
      <c r="AS60" s="24">
        <f t="shared" si="7"/>
        <v>0.59027777777777779</v>
      </c>
      <c r="AT60" s="24" t="str">
        <f t="shared" si="8"/>
        <v>Not Pass</v>
      </c>
    </row>
    <row r="61" spans="2:46" ht="23.25" customHeight="1" thickBot="1" x14ac:dyDescent="0.85">
      <c r="B61" s="2">
        <v>59</v>
      </c>
      <c r="C61" s="17">
        <f>IF('امتیاز دهی خبرگان'!$C61=0,0,IF('امتیاز دهی خبرگان'!$C61=1,'طیف فازی'!$B$2,IF('امتیاز دهی خبرگان'!$C61=2,'طیف فازی'!$B$3,IF('امتیاز دهی خبرگان'!$C61=3,'طیف فازی'!$B$4,IF('امتیاز دهی خبرگان'!$C61=4,'طیف فازی'!$B$5,'طیف فازی'!$B$6)))))</f>
        <v>0.75</v>
      </c>
      <c r="D61" s="18">
        <f>IF('امتیاز دهی خبرگان'!$C61=0,0,IF('امتیاز دهی خبرگان'!$C61=1,'طیف فازی'!$C$2,IF('امتیاز دهی خبرگان'!$C61=2,'طیف فازی'!$C$3,IF('امتیاز دهی خبرگان'!$C61=3,'طیف فازی'!$C$4,IF('امتیاز دهی خبرگان'!$C61=4,'طیف فازی'!$C$5,'طیف فازی'!$C$6)))))</f>
        <v>1</v>
      </c>
      <c r="E61" s="19">
        <f>IF('امتیاز دهی خبرگان'!$C61=0,0,IF('امتیاز دهی خبرگان'!$C61=1,'طیف فازی'!$D$2,IF('امتیاز دهی خبرگان'!$C61=2,'طیف فازی'!$D$3,IF('امتیاز دهی خبرگان'!$C61=3,'طیف فازی'!$D$4,IF('امتیاز دهی خبرگان'!$C61=4,'طیف فازی'!$D$5,'طیف فازی'!$D$6)))))</f>
        <v>1</v>
      </c>
      <c r="F61" s="20">
        <f>IF('امتیاز دهی خبرگان'!$D61=0,0,IF('امتیاز دهی خبرگان'!$D61=1,'طیف فازی'!$B$2,IF('امتیاز دهی خبرگان'!$D61=2,'طیف فازی'!$B$3,IF('امتیاز دهی خبرگان'!$D61=3,'طیف فازی'!$B$4,IF('امتیاز دهی خبرگان'!$D61=4,'طیف فازی'!$B$5,'طیف فازی'!$B$6)))))</f>
        <v>0.5</v>
      </c>
      <c r="G61" s="21">
        <f>IF('امتیاز دهی خبرگان'!$D61=0,0,IF('امتیاز دهی خبرگان'!$D61=1,'طیف فازی'!$D$2,IF('امتیاز دهی خبرگان'!$D61=2,'طیف فازی'!$C$3,IF('امتیاز دهی خبرگان'!$D61=3,'طیف فازی'!$C$4,IF('امتیاز دهی خبرگان'!$D61=4,'طیف فازی'!$C$5,'طیف فازی'!$C$6)))))</f>
        <v>0.75</v>
      </c>
      <c r="H61" s="22">
        <f>IF('امتیاز دهی خبرگان'!$D61=0,0,IF('امتیاز دهی خبرگان'!$D61=1,'طیف فازی'!$D$2,IF('امتیاز دهی خبرگان'!$D61=2,'طیف فازی'!$D$3,IF('امتیاز دهی خبرگان'!$D61=3,'طیف فازی'!$D$4,IF('امتیاز دهی خبرگان'!$D61=4,'طیف فازی'!$D$5,'طیف فازی'!$D$6)))))</f>
        <v>1</v>
      </c>
      <c r="I61" s="17">
        <f>IF('امتیاز دهی خبرگان'!$E61=0,0,IF('امتیاز دهی خبرگان'!$E61=1,'طیف فازی'!$B$2,IF('امتیاز دهی خبرگان'!$E61=2,'طیف فازی'!$B$3,IF('امتیاز دهی خبرگان'!$E61=3,'طیف فازی'!$B$4,IF('امتیاز دهی خبرگان'!$E61=4,'طیف فازی'!$B$5,'طیف فازی'!$B$6)))))</f>
        <v>0.75</v>
      </c>
      <c r="J61" s="18">
        <f>IF('امتیاز دهی خبرگان'!$E61=0,0,IF('امتیاز دهی خبرگان'!$E61=1,'طیف فازی'!$C$2,IF('امتیاز دهی خبرگان'!$E61=2,'طیف فازی'!$C$3,IF('امتیاز دهی خبرگان'!$E61=3,'طیف فازی'!$C$4,IF('امتیاز دهی خبرگان'!$E61=4,'طیف فازی'!$C$5,'طیف فازی'!$C$6)))))</f>
        <v>1</v>
      </c>
      <c r="K61" s="19">
        <f>IF('امتیاز دهی خبرگان'!$E61=0,0,IF('امتیاز دهی خبرگان'!$E61=1,'طیف فازی'!$D$2,IF('امتیاز دهی خبرگان'!$E61=2,'طیف فازی'!$D$3,IF('امتیاز دهی خبرگان'!$E61=3,'طیف فازی'!$D$4,IF('امتیاز دهی خبرگان'!$E61=4,'طیف فازی'!$D$5,'طیف فازی'!$D$6)))))</f>
        <v>1</v>
      </c>
      <c r="L61" s="17">
        <f>IF('امتیاز دهی خبرگان'!$F61=0,0,IF('امتیاز دهی خبرگان'!$F61=1,'طیف فازی'!$B$2,IF('امتیاز دهی خبرگان'!$F61=2,'طیف فازی'!$B$3,IF('امتیاز دهی خبرگان'!$F61=3,'طیف فازی'!$B$4,IF('امتیاز دهی خبرگان'!$F61=4,'طیف فازی'!$B$5,'طیف فازی'!$B$6)))))</f>
        <v>0.75</v>
      </c>
      <c r="M61" s="18">
        <f>IF('امتیاز دهی خبرگان'!$F61=0,0,IF('امتیاز دهی خبرگان'!$F61=1,'طیف فازی'!$C$2,IF('امتیاز دهی خبرگان'!$F61=2,'طیف فازی'!$C$3,IF('امتیاز دهی خبرگان'!$F61=3,'طیف فازی'!$C$4,IF('امتیاز دهی خبرگان'!$F61=4,'طیف فازی'!$C$5,'طیف فازی'!$C$6)))))</f>
        <v>1</v>
      </c>
      <c r="N61" s="19">
        <f>IF('امتیاز دهی خبرگان'!$F61=0,0,IF('امتیاز دهی خبرگان'!$F61=1,'طیف فازی'!$D$2,IF('امتیاز دهی خبرگان'!$F61=2,'طیف فازی'!$D$3,IF('امتیاز دهی خبرگان'!$F61=3,'طیف فازی'!$D$4,IF('امتیاز دهی خبرگان'!$F61=4,'طیف فازی'!$D$5,'طیف فازی'!$D$6)))))</f>
        <v>1</v>
      </c>
      <c r="O61" s="17">
        <f>IF('امتیاز دهی خبرگان'!$G61=0,0,IF('امتیاز دهی خبرگان'!$G61=1,'طیف فازی'!$B$2,IF('امتیاز دهی خبرگان'!$G61=2,'طیف فازی'!$B$3,IF('امتیاز دهی خبرگان'!$G61=3,'طیف فازی'!$B$4,IF('امتیاز دهی خبرگان'!$G61=4,'طیف فازی'!$B$5,'طیف فازی'!$B$6)))))</f>
        <v>0.75</v>
      </c>
      <c r="P61" s="18">
        <f>IF('امتیاز دهی خبرگان'!$G61=0,0,IF('امتیاز دهی خبرگان'!$G61=1,'طیف فازی'!$C$2,IF('امتیاز دهی خبرگان'!$G61=2,'طیف فازی'!$C$3,IF('امتیاز دهی خبرگان'!$G61=3,'طیف فازی'!$C$4,IF('امتیاز دهی خبرگان'!$G61=4,'طیف فازی'!$C$5,'طیف فازی'!$C$6)))))</f>
        <v>1</v>
      </c>
      <c r="Q61" s="19">
        <f>IF('امتیاز دهی خبرگان'!$G61=0,0,IF('امتیاز دهی خبرگان'!$G61=1,'طیف فازی'!$D$2,IF('امتیاز دهی خبرگان'!$G61=2,'طیف فازی'!$D$3,IF('امتیاز دهی خبرگان'!$G61=3,'طیف فازی'!$D$4,IF('امتیاز دهی خبرگان'!$G61=4,'طیف فازی'!$D$5,'طیف فازی'!$D$6)))))</f>
        <v>1</v>
      </c>
      <c r="R61" s="17">
        <f>IF('امتیاز دهی خبرگان'!$H61=0,0,IF('امتیاز دهی خبرگان'!$H61=1,'طیف فازی'!$B$2,IF('امتیاز دهی خبرگان'!$H61=2,'طیف فازی'!$B$3,IF('امتیاز دهی خبرگان'!$H61=3,'طیف فازی'!$B$4,IF('امتیاز دهی خبرگان'!$H61=4,'طیف فازی'!$B$5,'طیف فازی'!$B$6)))))</f>
        <v>0.25</v>
      </c>
      <c r="S61" s="18">
        <f>IF('امتیاز دهی خبرگان'!$H61=0,0,IF('امتیاز دهی خبرگان'!$H61=1,'طیف فازی'!$C$2,IF('امتیاز دهی خبرگان'!$H61=2,'طیف فازی'!$C$3,IF('امتیاز دهی خبرگان'!$H61=3,'طیف فازی'!$C$4,IF('امتیاز دهی خبرگان'!$H61=4,'طیف فازی'!$C$5,'طیف فازی'!$C$6)))))</f>
        <v>0.5</v>
      </c>
      <c r="T61" s="19">
        <f>IF('امتیاز دهی خبرگان'!$H61=0,0,IF('امتیاز دهی خبرگان'!$H61=1,'طیف فازی'!$D$2,IF('امتیاز دهی خبرگان'!$H61=2,'طیف فازی'!$D$3,IF('امتیاز دهی خبرگان'!$H61=3,'طیف فازی'!$D$4,IF('امتیاز دهی خبرگان'!$H61=4,'طیف فازی'!$D$5,'طیف فازی'!$D$6)))))</f>
        <v>0.75</v>
      </c>
      <c r="U61" s="17">
        <f>IF('امتیاز دهی خبرگان'!$I61=0,0,IF('امتیاز دهی خبرگان'!$I61=1,'طیف فازی'!$B$2,IF('امتیاز دهی خبرگان'!$I61=2,'طیف فازی'!$B$3,IF('امتیاز دهی خبرگان'!$I61=3,'طیف فازی'!$B$4,IF('امتیاز دهی خبرگان'!$I61=4,'طیف فازی'!$B$5,'طیف فازی'!$B$6)))))</f>
        <v>0.5</v>
      </c>
      <c r="V61" s="18">
        <f>IF('امتیاز دهی خبرگان'!$I61=0,0,IF('امتیاز دهی خبرگان'!$I61=1,'طیف فازی'!$C$2,IF('امتیاز دهی خبرگان'!$I61=2,'طیف فازی'!$C$3,IF('امتیاز دهی خبرگان'!$I61=3,'طیف فازی'!$C$4,IF('امتیاز دهی خبرگان'!$I61=4,'طیف فازی'!$C$5,'طیف فازی'!$C$6)))))</f>
        <v>0.75</v>
      </c>
      <c r="W61" s="19">
        <f>IF('امتیاز دهی خبرگان'!$I61=0,0,IF('امتیاز دهی خبرگان'!$I61=1,'طیف فازی'!$D$2,IF('امتیاز دهی خبرگان'!$I61=2,'طیف فازی'!$D$3,IF('امتیاز دهی خبرگان'!$I61=3,'طیف فازی'!$D$4,IF('امتیاز دهی خبرگان'!$I61=4,'طیف فازی'!$D$5,'طیف فازی'!$D$6)))))</f>
        <v>1</v>
      </c>
      <c r="X61" s="17">
        <f>IF('امتیاز دهی خبرگان'!$J61=0,0,IF('امتیاز دهی خبرگان'!$J61=1,'طیف فازی'!$B$2,IF('امتیاز دهی خبرگان'!$J61=2,'طیف فازی'!$B$3,IF('امتیاز دهی خبرگان'!$J61=3,'طیف فازی'!$B$4,IF('امتیاز دهی خبرگان'!$J61=4,'طیف فازی'!$B$5,'طیف فازی'!$B$6)))))</f>
        <v>0.5</v>
      </c>
      <c r="Y61" s="18">
        <f>IF('امتیاز دهی خبرگان'!$J61=0,0,IF('امتیاز دهی خبرگان'!$J61=1,'طیف فازی'!$C$2,IF('امتیاز دهی خبرگان'!$J61=2,'طیف فازی'!$C$3,IF('امتیاز دهی خبرگان'!$J61=3,'طیف فازی'!$C$4,IF('امتیاز دهی خبرگان'!$J61=4,'طیف فازی'!$C$5,'طیف فازی'!$C$6)))))</f>
        <v>0.75</v>
      </c>
      <c r="Z61" s="19">
        <f>IF('امتیاز دهی خبرگان'!$J61=0,0,IF('امتیاز دهی خبرگان'!$J61=1,'طیف فازی'!$D$2,IF('امتیاز دهی خبرگان'!$J61=2,'طیف فازی'!$D$3,IF('امتیاز دهی خبرگان'!$J61=3,'طیف فازی'!$D$4,IF('امتیاز دهی خبرگان'!$J61=4,'طیف فازی'!$D$5,'طیف فازی'!$D$6)))))</f>
        <v>1</v>
      </c>
      <c r="AA61" s="17">
        <f>IF('امتیاز دهی خبرگان'!$K61=0,0,IF('امتیاز دهی خبرگان'!$K61=1,'طیف فازی'!$B$2,IF('امتیاز دهی خبرگان'!$K61=2,'طیف فازی'!$B$3,IF('امتیاز دهی خبرگان'!$K61=3,'طیف فازی'!$B$4,IF('امتیاز دهی خبرگان'!$K61=4,'طیف فازی'!$B$5,'طیف فازی'!$B$6)))))</f>
        <v>0.5</v>
      </c>
      <c r="AB61" s="18">
        <f>IF('امتیاز دهی خبرگان'!$K61=0,0,IF('امتیاز دهی خبرگان'!$K61=1,'طیف فازی'!$C$2,IF('امتیاز دهی خبرگان'!$K61=2,'طیف فازی'!$C$3,IF('امتیاز دهی خبرگان'!$K61=3,'طیف فازی'!$C$4,IF('امتیاز دهی خبرگان'!$K61=4,'طیف فازی'!$C$5,'طیف فازی'!$C$6)))))</f>
        <v>0.75</v>
      </c>
      <c r="AC61" s="19">
        <f>IF('امتیاز دهی خبرگان'!$K61=0,0,IF('امتیاز دهی خبرگان'!$K61=1,'طیف فازی'!$D$2,IF('امتیاز دهی خبرگان'!$K61=2,'طیف فازی'!$D$3,IF('امتیاز دهی خبرگان'!$K61=3,'طیف فازی'!$D$4,IF('امتیاز دهی خبرگان'!$K61=4,'طیف فازی'!$D$5,'طیف فازی'!$D$6)))))</f>
        <v>1</v>
      </c>
      <c r="AD61" s="17">
        <f>IF('امتیاز دهی خبرگان'!$L61=0,0,IF('امتیاز دهی خبرگان'!$L61=1,'طیف فازی'!$B$2,IF('امتیاز دهی خبرگان'!$L61=2,'طیف فازی'!$B$3,IF('امتیاز دهی خبرگان'!$L61=3,'طیف فازی'!$B$4,IF('امتیاز دهی خبرگان'!$L61=4,'طیف فازی'!$B$5,'طیف فازی'!$B$6)))))</f>
        <v>0.25</v>
      </c>
      <c r="AE61" s="18">
        <f>IF('امتیاز دهی خبرگان'!$L61=0,0,IF('امتیاز دهی خبرگان'!$L61=1,'طیف فازی'!$C$2,IF('امتیاز دهی خبرگان'!$L61=2,'طیف فازی'!$C$3,IF('امتیاز دهی خبرگان'!$L61=3,'طیف فازی'!$C$4,IF('امتیاز دهی خبرگان'!$L61=4,'طیف فازی'!$C$5,'طیف فازی'!$C$6)))))</f>
        <v>0.5</v>
      </c>
      <c r="AF61" s="19">
        <f>IF('امتیاز دهی خبرگان'!$L61=0,0,IF('امتیاز دهی خبرگان'!$L61=1,'طیف فازی'!$D$2,IF('امتیاز دهی خبرگان'!$L61=2,'طیف فازی'!$D$3,IF('امتیاز دهی خبرگان'!$L61=3,'طیف فازی'!$D$4,IF('امتیاز دهی خبرگان'!$L61=4,'طیف فازی'!$D$5,'طیف فازی'!$D$6)))))</f>
        <v>0.75</v>
      </c>
      <c r="AG61" s="17">
        <f>IF('امتیاز دهی خبرگان'!$M61=0,0,IF('امتیاز دهی خبرگان'!$M61=1,'طیف فازی'!$B$2,IF('امتیاز دهی خبرگان'!$M61=2,'طیف فازی'!$B$3,IF('امتیاز دهی خبرگان'!$M61=3,'طیف فازی'!$B$4,IF('امتیاز دهی خبرگان'!$M61=4,'طیف فازی'!$B$5,'طیف فازی'!$B$6)))))</f>
        <v>0.5</v>
      </c>
      <c r="AH61" s="18">
        <f>IF('امتیاز دهی خبرگان'!$M61=0,0,IF('امتیاز دهی خبرگان'!$M61=1,'طیف فازی'!$C$2,IF('امتیاز دهی خبرگان'!$M61=2,'طیف فازی'!$C$3,IF('امتیاز دهی خبرگان'!$M61=3,'طیف فازی'!$C$4,IF('امتیاز دهی خبرگان'!$M61=4,'طیف فازی'!$C$5,'طیف فازی'!$C$6)))))</f>
        <v>0.75</v>
      </c>
      <c r="AI61" s="19">
        <f>IF('امتیاز دهی خبرگان'!$M61=0,0,IF('امتیاز دهی خبرگان'!$M61=1,'طیف فازی'!$D$2,IF('امتیاز دهی خبرگان'!$M61=2,'طیف فازی'!$D$3,IF('امتیاز دهی خبرگان'!$M61=3,'طیف فازی'!$D$4,IF('امتیاز دهی خبرگان'!$M61=4,'طیف فازی'!$D$5,'طیف فازی'!$D$6)))))</f>
        <v>1</v>
      </c>
      <c r="AJ61" s="17">
        <f>IF('امتیاز دهی خبرگان'!$N61=0,0,IF('امتیاز دهی خبرگان'!$N61=1,'طیف فازی'!$B$2,IF('امتیاز دهی خبرگان'!$N61=2,'طیف فازی'!$B$3,IF('امتیاز دهی خبرگان'!$N61=3,'طیف فازی'!$B$4,IF('امتیاز دهی خبرگان'!$N61=4,'طیف فازی'!$B$5,'طیف فازی'!$B$6)))))</f>
        <v>0.5</v>
      </c>
      <c r="AK61" s="18">
        <f>IF('امتیاز دهی خبرگان'!$N61=0,0,IF('امتیاز دهی خبرگان'!$N61=1,'طیف فازی'!$C$2,IF('امتیاز دهی خبرگان'!$N61=2,'طیف فازی'!$C$3,IF('امتیاز دهی خبرگان'!$N61=3,'طیف فازی'!$C$4,IF('امتیاز دهی خبرگان'!$N61=4,'طیف فازی'!$C$5,'طیف فازی'!$C$6)))))</f>
        <v>0.75</v>
      </c>
      <c r="AL61" s="19">
        <f>IF('امتیاز دهی خبرگان'!$N61=0,0,IF('امتیاز دهی خبرگان'!$N61=1,'طیف فازی'!$D$2,IF('امتیاز دهی خبرگان'!$N61=2,'طیف فازی'!$D$3,IF('امتیاز دهی خبرگان'!$N61=3,'طیف فازی'!$D$4,IF('امتیاز دهی خبرگان'!$N61=4,'طیف فازی'!$D$5,'طیف فازی'!$D$6)))))</f>
        <v>1</v>
      </c>
      <c r="AM61" s="23">
        <f t="shared" si="1"/>
        <v>6.5</v>
      </c>
      <c r="AN61" s="23">
        <f t="shared" si="2"/>
        <v>9.5</v>
      </c>
      <c r="AO61" s="24">
        <f t="shared" si="3"/>
        <v>11.5</v>
      </c>
      <c r="AP61" s="25">
        <f t="shared" si="4"/>
        <v>0.54166666666666663</v>
      </c>
      <c r="AQ61" s="23">
        <f t="shared" si="5"/>
        <v>0.79166666666666663</v>
      </c>
      <c r="AR61" s="24">
        <f t="shared" si="6"/>
        <v>0.95833333333333337</v>
      </c>
      <c r="AS61" s="24">
        <f t="shared" si="7"/>
        <v>0.76388888888888884</v>
      </c>
      <c r="AT61" s="24" t="str">
        <f t="shared" si="8"/>
        <v>Pass</v>
      </c>
    </row>
    <row r="62" spans="2:46" ht="23.25" customHeight="1" thickBot="1" x14ac:dyDescent="0.85">
      <c r="B62" s="2">
        <v>60</v>
      </c>
      <c r="C62" s="17">
        <f>IF('امتیاز دهی خبرگان'!$C62=0,0,IF('امتیاز دهی خبرگان'!$C62=1,'طیف فازی'!$B$2,IF('امتیاز دهی خبرگان'!$C62=2,'طیف فازی'!$B$3,IF('امتیاز دهی خبرگان'!$C62=3,'طیف فازی'!$B$4,IF('امتیاز دهی خبرگان'!$C62=4,'طیف فازی'!$B$5,'طیف فازی'!$B$6)))))</f>
        <v>0.75</v>
      </c>
      <c r="D62" s="18">
        <f>IF('امتیاز دهی خبرگان'!$C62=0,0,IF('امتیاز دهی خبرگان'!$C62=1,'طیف فازی'!$C$2,IF('امتیاز دهی خبرگان'!$C62=2,'طیف فازی'!$C$3,IF('امتیاز دهی خبرگان'!$C62=3,'طیف فازی'!$C$4,IF('امتیاز دهی خبرگان'!$C62=4,'طیف فازی'!$C$5,'طیف فازی'!$C$6)))))</f>
        <v>1</v>
      </c>
      <c r="E62" s="19">
        <f>IF('امتیاز دهی خبرگان'!$C62=0,0,IF('امتیاز دهی خبرگان'!$C62=1,'طیف فازی'!$D$2,IF('امتیاز دهی خبرگان'!$C62=2,'طیف فازی'!$D$3,IF('امتیاز دهی خبرگان'!$C62=3,'طیف فازی'!$D$4,IF('امتیاز دهی خبرگان'!$C62=4,'طیف فازی'!$D$5,'طیف فازی'!$D$6)))))</f>
        <v>1</v>
      </c>
      <c r="F62" s="20">
        <f>IF('امتیاز دهی خبرگان'!$D62=0,0,IF('امتیاز دهی خبرگان'!$D62=1,'طیف فازی'!$B$2,IF('امتیاز دهی خبرگان'!$D62=2,'طیف فازی'!$B$3,IF('امتیاز دهی خبرگان'!$D62=3,'طیف فازی'!$B$4,IF('امتیاز دهی خبرگان'!$D62=4,'طیف فازی'!$B$5,'طیف فازی'!$B$6)))))</f>
        <v>0.5</v>
      </c>
      <c r="G62" s="21">
        <f>IF('امتیاز دهی خبرگان'!$D62=0,0,IF('امتیاز دهی خبرگان'!$D62=1,'طیف فازی'!$D$2,IF('امتیاز دهی خبرگان'!$D62=2,'طیف فازی'!$C$3,IF('امتیاز دهی خبرگان'!$D62=3,'طیف فازی'!$C$4,IF('امتیاز دهی خبرگان'!$D62=4,'طیف فازی'!$C$5,'طیف فازی'!$C$6)))))</f>
        <v>0.75</v>
      </c>
      <c r="H62" s="22">
        <f>IF('امتیاز دهی خبرگان'!$D62=0,0,IF('امتیاز دهی خبرگان'!$D62=1,'طیف فازی'!$D$2,IF('امتیاز دهی خبرگان'!$D62=2,'طیف فازی'!$D$3,IF('امتیاز دهی خبرگان'!$D62=3,'طیف فازی'!$D$4,IF('امتیاز دهی خبرگان'!$D62=4,'طیف فازی'!$D$5,'طیف فازی'!$D$6)))))</f>
        <v>1</v>
      </c>
      <c r="I62" s="17">
        <f>IF('امتیاز دهی خبرگان'!$E62=0,0,IF('امتیاز دهی خبرگان'!$E62=1,'طیف فازی'!$B$2,IF('امتیاز دهی خبرگان'!$E62=2,'طیف فازی'!$B$3,IF('امتیاز دهی خبرگان'!$E62=3,'طیف فازی'!$B$4,IF('امتیاز دهی خبرگان'!$E62=4,'طیف فازی'!$B$5,'طیف فازی'!$B$6)))))</f>
        <v>0.75</v>
      </c>
      <c r="J62" s="18">
        <f>IF('امتیاز دهی خبرگان'!$E62=0,0,IF('امتیاز دهی خبرگان'!$E62=1,'طیف فازی'!$C$2,IF('امتیاز دهی خبرگان'!$E62=2,'طیف فازی'!$C$3,IF('امتیاز دهی خبرگان'!$E62=3,'طیف فازی'!$C$4,IF('امتیاز دهی خبرگان'!$E62=4,'طیف فازی'!$C$5,'طیف فازی'!$C$6)))))</f>
        <v>1</v>
      </c>
      <c r="K62" s="19">
        <f>IF('امتیاز دهی خبرگان'!$E62=0,0,IF('امتیاز دهی خبرگان'!$E62=1,'طیف فازی'!$D$2,IF('امتیاز دهی خبرگان'!$E62=2,'طیف فازی'!$D$3,IF('امتیاز دهی خبرگان'!$E62=3,'طیف فازی'!$D$4,IF('امتیاز دهی خبرگان'!$E62=4,'طیف فازی'!$D$5,'طیف فازی'!$D$6)))))</f>
        <v>1</v>
      </c>
      <c r="L62" s="17">
        <f>IF('امتیاز دهی خبرگان'!$F62=0,0,IF('امتیاز دهی خبرگان'!$F62=1,'طیف فازی'!$B$2,IF('امتیاز دهی خبرگان'!$F62=2,'طیف فازی'!$B$3,IF('امتیاز دهی خبرگان'!$F62=3,'طیف فازی'!$B$4,IF('امتیاز دهی خبرگان'!$F62=4,'طیف فازی'!$B$5,'طیف فازی'!$B$6)))))</f>
        <v>0.5</v>
      </c>
      <c r="M62" s="18">
        <f>IF('امتیاز دهی خبرگان'!$F62=0,0,IF('امتیاز دهی خبرگان'!$F62=1,'طیف فازی'!$C$2,IF('امتیاز دهی خبرگان'!$F62=2,'طیف فازی'!$C$3,IF('امتیاز دهی خبرگان'!$F62=3,'طیف فازی'!$C$4,IF('امتیاز دهی خبرگان'!$F62=4,'طیف فازی'!$C$5,'طیف فازی'!$C$6)))))</f>
        <v>0.75</v>
      </c>
      <c r="N62" s="19">
        <f>IF('امتیاز دهی خبرگان'!$F62=0,0,IF('امتیاز دهی خبرگان'!$F62=1,'طیف فازی'!$D$2,IF('امتیاز دهی خبرگان'!$F62=2,'طیف فازی'!$D$3,IF('امتیاز دهی خبرگان'!$F62=3,'طیف فازی'!$D$4,IF('امتیاز دهی خبرگان'!$F62=4,'طیف فازی'!$D$5,'طیف فازی'!$D$6)))))</f>
        <v>1</v>
      </c>
      <c r="O62" s="17">
        <f>IF('امتیاز دهی خبرگان'!$G62=0,0,IF('امتیاز دهی خبرگان'!$G62=1,'طیف فازی'!$B$2,IF('امتیاز دهی خبرگان'!$G62=2,'طیف فازی'!$B$3,IF('امتیاز دهی خبرگان'!$G62=3,'طیف فازی'!$B$4,IF('امتیاز دهی خبرگان'!$G62=4,'طیف فازی'!$B$5,'طیف فازی'!$B$6)))))</f>
        <v>0.5</v>
      </c>
      <c r="P62" s="18">
        <f>IF('امتیاز دهی خبرگان'!$G62=0,0,IF('امتیاز دهی خبرگان'!$G62=1,'طیف فازی'!$C$2,IF('امتیاز دهی خبرگان'!$G62=2,'طیف فازی'!$C$3,IF('امتیاز دهی خبرگان'!$G62=3,'طیف فازی'!$C$4,IF('امتیاز دهی خبرگان'!$G62=4,'طیف فازی'!$C$5,'طیف فازی'!$C$6)))))</f>
        <v>0.75</v>
      </c>
      <c r="Q62" s="19">
        <f>IF('امتیاز دهی خبرگان'!$G62=0,0,IF('امتیاز دهی خبرگان'!$G62=1,'طیف فازی'!$D$2,IF('امتیاز دهی خبرگان'!$G62=2,'طیف فازی'!$D$3,IF('امتیاز دهی خبرگان'!$G62=3,'طیف فازی'!$D$4,IF('امتیاز دهی خبرگان'!$G62=4,'طیف فازی'!$D$5,'طیف فازی'!$D$6)))))</f>
        <v>1</v>
      </c>
      <c r="R62" s="17">
        <f>IF('امتیاز دهی خبرگان'!$H62=0,0,IF('امتیاز دهی خبرگان'!$H62=1,'طیف فازی'!$B$2,IF('امتیاز دهی خبرگان'!$H62=2,'طیف فازی'!$B$3,IF('امتیاز دهی خبرگان'!$H62=3,'طیف فازی'!$B$4,IF('امتیاز دهی خبرگان'!$H62=4,'طیف فازی'!$B$5,'طیف فازی'!$B$6)))))</f>
        <v>0.5</v>
      </c>
      <c r="S62" s="18">
        <f>IF('امتیاز دهی خبرگان'!$H62=0,0,IF('امتیاز دهی خبرگان'!$H62=1,'طیف فازی'!$C$2,IF('امتیاز دهی خبرگان'!$H62=2,'طیف فازی'!$C$3,IF('امتیاز دهی خبرگان'!$H62=3,'طیف فازی'!$C$4,IF('امتیاز دهی خبرگان'!$H62=4,'طیف فازی'!$C$5,'طیف فازی'!$C$6)))))</f>
        <v>0.75</v>
      </c>
      <c r="T62" s="19">
        <f>IF('امتیاز دهی خبرگان'!$H62=0,0,IF('امتیاز دهی خبرگان'!$H62=1,'طیف فازی'!$D$2,IF('امتیاز دهی خبرگان'!$H62=2,'طیف فازی'!$D$3,IF('امتیاز دهی خبرگان'!$H62=3,'طیف فازی'!$D$4,IF('امتیاز دهی خبرگان'!$H62=4,'طیف فازی'!$D$5,'طیف فازی'!$D$6)))))</f>
        <v>1</v>
      </c>
      <c r="U62" s="17">
        <f>IF('امتیاز دهی خبرگان'!$I62=0,0,IF('امتیاز دهی خبرگان'!$I62=1,'طیف فازی'!$B$2,IF('امتیاز دهی خبرگان'!$I62=2,'طیف فازی'!$B$3,IF('امتیاز دهی خبرگان'!$I62=3,'طیف فازی'!$B$4,IF('امتیاز دهی خبرگان'!$I62=4,'طیف فازی'!$B$5,'طیف فازی'!$B$6)))))</f>
        <v>0.5</v>
      </c>
      <c r="V62" s="18">
        <f>IF('امتیاز دهی خبرگان'!$I62=0,0,IF('امتیاز دهی خبرگان'!$I62=1,'طیف فازی'!$C$2,IF('امتیاز دهی خبرگان'!$I62=2,'طیف فازی'!$C$3,IF('امتیاز دهی خبرگان'!$I62=3,'طیف فازی'!$C$4,IF('امتیاز دهی خبرگان'!$I62=4,'طیف فازی'!$C$5,'طیف فازی'!$C$6)))))</f>
        <v>0.75</v>
      </c>
      <c r="W62" s="19">
        <f>IF('امتیاز دهی خبرگان'!$I62=0,0,IF('امتیاز دهی خبرگان'!$I62=1,'طیف فازی'!$D$2,IF('امتیاز دهی خبرگان'!$I62=2,'طیف فازی'!$D$3,IF('امتیاز دهی خبرگان'!$I62=3,'طیف فازی'!$D$4,IF('امتیاز دهی خبرگان'!$I62=4,'طیف فازی'!$D$5,'طیف فازی'!$D$6)))))</f>
        <v>1</v>
      </c>
      <c r="X62" s="17">
        <f>IF('امتیاز دهی خبرگان'!$J62=0,0,IF('امتیاز دهی خبرگان'!$J62=1,'طیف فازی'!$B$2,IF('امتیاز دهی خبرگان'!$J62=2,'طیف فازی'!$B$3,IF('امتیاز دهی خبرگان'!$J62=3,'طیف فازی'!$B$4,IF('امتیاز دهی خبرگان'!$J62=4,'طیف فازی'!$B$5,'طیف فازی'!$B$6)))))</f>
        <v>0.5</v>
      </c>
      <c r="Y62" s="18">
        <f>IF('امتیاز دهی خبرگان'!$J62=0,0,IF('امتیاز دهی خبرگان'!$J62=1,'طیف فازی'!$C$2,IF('امتیاز دهی خبرگان'!$J62=2,'طیف فازی'!$C$3,IF('امتیاز دهی خبرگان'!$J62=3,'طیف فازی'!$C$4,IF('امتیاز دهی خبرگان'!$J62=4,'طیف فازی'!$C$5,'طیف فازی'!$C$6)))))</f>
        <v>0.75</v>
      </c>
      <c r="Z62" s="19">
        <f>IF('امتیاز دهی خبرگان'!$J62=0,0,IF('امتیاز دهی خبرگان'!$J62=1,'طیف فازی'!$D$2,IF('امتیاز دهی خبرگان'!$J62=2,'طیف فازی'!$D$3,IF('امتیاز دهی خبرگان'!$J62=3,'طیف فازی'!$D$4,IF('امتیاز دهی خبرگان'!$J62=4,'طیف فازی'!$D$5,'طیف فازی'!$D$6)))))</f>
        <v>1</v>
      </c>
      <c r="AA62" s="17">
        <f>IF('امتیاز دهی خبرگان'!$K62=0,0,IF('امتیاز دهی خبرگان'!$K62=1,'طیف فازی'!$B$2,IF('امتیاز دهی خبرگان'!$K62=2,'طیف فازی'!$B$3,IF('امتیاز دهی خبرگان'!$K62=3,'طیف فازی'!$B$4,IF('امتیاز دهی خبرگان'!$K62=4,'طیف فازی'!$B$5,'طیف فازی'!$B$6)))))</f>
        <v>0.5</v>
      </c>
      <c r="AB62" s="18">
        <f>IF('امتیاز دهی خبرگان'!$K62=0,0,IF('امتیاز دهی خبرگان'!$K62=1,'طیف فازی'!$C$2,IF('امتیاز دهی خبرگان'!$K62=2,'طیف فازی'!$C$3,IF('امتیاز دهی خبرگان'!$K62=3,'طیف فازی'!$C$4,IF('امتیاز دهی خبرگان'!$K62=4,'طیف فازی'!$C$5,'طیف فازی'!$C$6)))))</f>
        <v>0.75</v>
      </c>
      <c r="AC62" s="19">
        <f>IF('امتیاز دهی خبرگان'!$K62=0,0,IF('امتیاز دهی خبرگان'!$K62=1,'طیف فازی'!$D$2,IF('امتیاز دهی خبرگان'!$K62=2,'طیف فازی'!$D$3,IF('امتیاز دهی خبرگان'!$K62=3,'طیف فازی'!$D$4,IF('امتیاز دهی خبرگان'!$K62=4,'طیف فازی'!$D$5,'طیف فازی'!$D$6)))))</f>
        <v>1</v>
      </c>
      <c r="AD62" s="17">
        <f>IF('امتیاز دهی خبرگان'!$L62=0,0,IF('امتیاز دهی خبرگان'!$L62=1,'طیف فازی'!$B$2,IF('امتیاز دهی خبرگان'!$L62=2,'طیف فازی'!$B$3,IF('امتیاز دهی خبرگان'!$L62=3,'طیف فازی'!$B$4,IF('امتیاز دهی خبرگان'!$L62=4,'طیف فازی'!$B$5,'طیف فازی'!$B$6)))))</f>
        <v>0.5</v>
      </c>
      <c r="AE62" s="18">
        <f>IF('امتیاز دهی خبرگان'!$L62=0,0,IF('امتیاز دهی خبرگان'!$L62=1,'طیف فازی'!$C$2,IF('امتیاز دهی خبرگان'!$L62=2,'طیف فازی'!$C$3,IF('امتیاز دهی خبرگان'!$L62=3,'طیف فازی'!$C$4,IF('امتیاز دهی خبرگان'!$L62=4,'طیف فازی'!$C$5,'طیف فازی'!$C$6)))))</f>
        <v>0.75</v>
      </c>
      <c r="AF62" s="19">
        <f>IF('امتیاز دهی خبرگان'!$L62=0,0,IF('امتیاز دهی خبرگان'!$L62=1,'طیف فازی'!$D$2,IF('امتیاز دهی خبرگان'!$L62=2,'طیف فازی'!$D$3,IF('امتیاز دهی خبرگان'!$L62=3,'طیف فازی'!$D$4,IF('امتیاز دهی خبرگان'!$L62=4,'طیف فازی'!$D$5,'طیف فازی'!$D$6)))))</f>
        <v>1</v>
      </c>
      <c r="AG62" s="17">
        <f>IF('امتیاز دهی خبرگان'!$M62=0,0,IF('امتیاز دهی خبرگان'!$M62=1,'طیف فازی'!$B$2,IF('امتیاز دهی خبرگان'!$M62=2,'طیف فازی'!$B$3,IF('امتیاز دهی خبرگان'!$M62=3,'طیف فازی'!$B$4,IF('امتیاز دهی خبرگان'!$M62=4,'طیف فازی'!$B$5,'طیف فازی'!$B$6)))))</f>
        <v>0.25</v>
      </c>
      <c r="AH62" s="18">
        <f>IF('امتیاز دهی خبرگان'!$M62=0,0,IF('امتیاز دهی خبرگان'!$M62=1,'طیف فازی'!$C$2,IF('امتیاز دهی خبرگان'!$M62=2,'طیف فازی'!$C$3,IF('امتیاز دهی خبرگان'!$M62=3,'طیف فازی'!$C$4,IF('امتیاز دهی خبرگان'!$M62=4,'طیف فازی'!$C$5,'طیف فازی'!$C$6)))))</f>
        <v>0.5</v>
      </c>
      <c r="AI62" s="19">
        <f>IF('امتیاز دهی خبرگان'!$M62=0,0,IF('امتیاز دهی خبرگان'!$M62=1,'طیف فازی'!$D$2,IF('امتیاز دهی خبرگان'!$M62=2,'طیف فازی'!$D$3,IF('امتیاز دهی خبرگان'!$M62=3,'طیف فازی'!$D$4,IF('امتیاز دهی خبرگان'!$M62=4,'طیف فازی'!$D$5,'طیف فازی'!$D$6)))))</f>
        <v>0.75</v>
      </c>
      <c r="AJ62" s="17">
        <f>IF('امتیاز دهی خبرگان'!$N62=0,0,IF('امتیاز دهی خبرگان'!$N62=1,'طیف فازی'!$B$2,IF('امتیاز دهی خبرگان'!$N62=2,'طیف فازی'!$B$3,IF('امتیاز دهی خبرگان'!$N62=3,'طیف فازی'!$B$4,IF('امتیاز دهی خبرگان'!$N62=4,'طیف فازی'!$B$5,'طیف فازی'!$B$6)))))</f>
        <v>0.5</v>
      </c>
      <c r="AK62" s="18">
        <f>IF('امتیاز دهی خبرگان'!$N62=0,0,IF('امتیاز دهی خبرگان'!$N62=1,'طیف فازی'!$C$2,IF('امتیاز دهی خبرگان'!$N62=2,'طیف فازی'!$C$3,IF('امتیاز دهی خبرگان'!$N62=3,'طیف فازی'!$C$4,IF('امتیاز دهی خبرگان'!$N62=4,'طیف فازی'!$C$5,'طیف فازی'!$C$6)))))</f>
        <v>0.75</v>
      </c>
      <c r="AL62" s="19">
        <f>IF('امتیاز دهی خبرگان'!$N62=0,0,IF('امتیاز دهی خبرگان'!$N62=1,'طیف فازی'!$D$2,IF('امتیاز دهی خبرگان'!$N62=2,'طیف فازی'!$D$3,IF('امتیاز دهی خبرگان'!$N62=3,'طیف فازی'!$D$4,IF('امتیاز دهی خبرگان'!$N62=4,'طیف فازی'!$D$5,'طیف فازی'!$D$6)))))</f>
        <v>1</v>
      </c>
      <c r="AM62" s="23">
        <f t="shared" si="1"/>
        <v>6.25</v>
      </c>
      <c r="AN62" s="23">
        <f t="shared" si="2"/>
        <v>9.25</v>
      </c>
      <c r="AO62" s="24">
        <f t="shared" si="3"/>
        <v>11.75</v>
      </c>
      <c r="AP62" s="25">
        <f t="shared" si="4"/>
        <v>0.52083333333333337</v>
      </c>
      <c r="AQ62" s="23">
        <f t="shared" si="5"/>
        <v>0.77083333333333337</v>
      </c>
      <c r="AR62" s="24">
        <f t="shared" si="6"/>
        <v>0.97916666666666663</v>
      </c>
      <c r="AS62" s="24">
        <f t="shared" si="7"/>
        <v>0.75694444444444453</v>
      </c>
      <c r="AT62" s="24" t="str">
        <f t="shared" si="8"/>
        <v>Pass</v>
      </c>
    </row>
    <row r="63" spans="2:46" ht="23.25" customHeight="1" thickBot="1" x14ac:dyDescent="0.85">
      <c r="B63" s="2">
        <v>61</v>
      </c>
      <c r="C63" s="17">
        <f>IF('امتیاز دهی خبرگان'!$C63=0,0,IF('امتیاز دهی خبرگان'!$C63=1,'طیف فازی'!$B$2,IF('امتیاز دهی خبرگان'!$C63=2,'طیف فازی'!$B$3,IF('امتیاز دهی خبرگان'!$C63=3,'طیف فازی'!$B$4,IF('امتیاز دهی خبرگان'!$C63=4,'طیف فازی'!$B$5,'طیف فازی'!$B$6)))))</f>
        <v>0.75</v>
      </c>
      <c r="D63" s="18">
        <f>IF('امتیاز دهی خبرگان'!$C63=0,0,IF('امتیاز دهی خبرگان'!$C63=1,'طیف فازی'!$C$2,IF('امتیاز دهی خبرگان'!$C63=2,'طیف فازی'!$C$3,IF('امتیاز دهی خبرگان'!$C63=3,'طیف فازی'!$C$4,IF('امتیاز دهی خبرگان'!$C63=4,'طیف فازی'!$C$5,'طیف فازی'!$C$6)))))</f>
        <v>1</v>
      </c>
      <c r="E63" s="19">
        <f>IF('امتیاز دهی خبرگان'!$C63=0,0,IF('امتیاز دهی خبرگان'!$C63=1,'طیف فازی'!$D$2,IF('امتیاز دهی خبرگان'!$C63=2,'طیف فازی'!$D$3,IF('امتیاز دهی خبرگان'!$C63=3,'طیف فازی'!$D$4,IF('امتیاز دهی خبرگان'!$C63=4,'طیف فازی'!$D$5,'طیف فازی'!$D$6)))))</f>
        <v>1</v>
      </c>
      <c r="F63" s="20">
        <f>IF('امتیاز دهی خبرگان'!$D63=0,0,IF('امتیاز دهی خبرگان'!$D63=1,'طیف فازی'!$B$2,IF('امتیاز دهی خبرگان'!$D63=2,'طیف فازی'!$B$3,IF('امتیاز دهی خبرگان'!$D63=3,'طیف فازی'!$B$4,IF('امتیاز دهی خبرگان'!$D63=4,'طیف فازی'!$B$5,'طیف فازی'!$B$6)))))</f>
        <v>0.5</v>
      </c>
      <c r="G63" s="21">
        <f>IF('امتیاز دهی خبرگان'!$D63=0,0,IF('امتیاز دهی خبرگان'!$D63=1,'طیف فازی'!$D$2,IF('امتیاز دهی خبرگان'!$D63=2,'طیف فازی'!$C$3,IF('امتیاز دهی خبرگان'!$D63=3,'طیف فازی'!$C$4,IF('امتیاز دهی خبرگان'!$D63=4,'طیف فازی'!$C$5,'طیف فازی'!$C$6)))))</f>
        <v>0.75</v>
      </c>
      <c r="H63" s="22">
        <f>IF('امتیاز دهی خبرگان'!$D63=0,0,IF('امتیاز دهی خبرگان'!$D63=1,'طیف فازی'!$D$2,IF('امتیاز دهی خبرگان'!$D63=2,'طیف فازی'!$D$3,IF('امتیاز دهی خبرگان'!$D63=3,'طیف فازی'!$D$4,IF('امتیاز دهی خبرگان'!$D63=4,'طیف فازی'!$D$5,'طیف فازی'!$D$6)))))</f>
        <v>1</v>
      </c>
      <c r="I63" s="17">
        <f>IF('امتیاز دهی خبرگان'!$E63=0,0,IF('امتیاز دهی خبرگان'!$E63=1,'طیف فازی'!$B$2,IF('امتیاز دهی خبرگان'!$E63=2,'طیف فازی'!$B$3,IF('امتیاز دهی خبرگان'!$E63=3,'طیف فازی'!$B$4,IF('امتیاز دهی خبرگان'!$E63=4,'طیف فازی'!$B$5,'طیف فازی'!$B$6)))))</f>
        <v>0.75</v>
      </c>
      <c r="J63" s="18">
        <f>IF('امتیاز دهی خبرگان'!$E63=0,0,IF('امتیاز دهی خبرگان'!$E63=1,'طیف فازی'!$C$2,IF('امتیاز دهی خبرگان'!$E63=2,'طیف فازی'!$C$3,IF('امتیاز دهی خبرگان'!$E63=3,'طیف فازی'!$C$4,IF('امتیاز دهی خبرگان'!$E63=4,'طیف فازی'!$C$5,'طیف فازی'!$C$6)))))</f>
        <v>1</v>
      </c>
      <c r="K63" s="19">
        <f>IF('امتیاز دهی خبرگان'!$E63=0,0,IF('امتیاز دهی خبرگان'!$E63=1,'طیف فازی'!$D$2,IF('امتیاز دهی خبرگان'!$E63=2,'طیف فازی'!$D$3,IF('امتیاز دهی خبرگان'!$E63=3,'طیف فازی'!$D$4,IF('امتیاز دهی خبرگان'!$E63=4,'طیف فازی'!$D$5,'طیف فازی'!$D$6)))))</f>
        <v>1</v>
      </c>
      <c r="L63" s="17">
        <f>IF('امتیاز دهی خبرگان'!$F63=0,0,IF('امتیاز دهی خبرگان'!$F63=1,'طیف فازی'!$B$2,IF('امتیاز دهی خبرگان'!$F63=2,'طیف فازی'!$B$3,IF('امتیاز دهی خبرگان'!$F63=3,'طیف فازی'!$B$4,IF('امتیاز دهی خبرگان'!$F63=4,'طیف فازی'!$B$5,'طیف فازی'!$B$6)))))</f>
        <v>0.5</v>
      </c>
      <c r="M63" s="18">
        <f>IF('امتیاز دهی خبرگان'!$F63=0,0,IF('امتیاز دهی خبرگان'!$F63=1,'طیف فازی'!$C$2,IF('امتیاز دهی خبرگان'!$F63=2,'طیف فازی'!$C$3,IF('امتیاز دهی خبرگان'!$F63=3,'طیف فازی'!$C$4,IF('امتیاز دهی خبرگان'!$F63=4,'طیف فازی'!$C$5,'طیف فازی'!$C$6)))))</f>
        <v>0.75</v>
      </c>
      <c r="N63" s="19">
        <f>IF('امتیاز دهی خبرگان'!$F63=0,0,IF('امتیاز دهی خبرگان'!$F63=1,'طیف فازی'!$D$2,IF('امتیاز دهی خبرگان'!$F63=2,'طیف فازی'!$D$3,IF('امتیاز دهی خبرگان'!$F63=3,'طیف فازی'!$D$4,IF('امتیاز دهی خبرگان'!$F63=4,'طیف فازی'!$D$5,'طیف فازی'!$D$6)))))</f>
        <v>1</v>
      </c>
      <c r="O63" s="17">
        <f>IF('امتیاز دهی خبرگان'!$G63=0,0,IF('امتیاز دهی خبرگان'!$G63=1,'طیف فازی'!$B$2,IF('امتیاز دهی خبرگان'!$G63=2,'طیف فازی'!$B$3,IF('امتیاز دهی خبرگان'!$G63=3,'طیف فازی'!$B$4,IF('امتیاز دهی خبرگان'!$G63=4,'طیف فازی'!$B$5,'طیف فازی'!$B$6)))))</f>
        <v>0</v>
      </c>
      <c r="P63" s="18">
        <f>IF('امتیاز دهی خبرگان'!$G63=0,0,IF('امتیاز دهی خبرگان'!$G63=1,'طیف فازی'!$C$2,IF('امتیاز دهی خبرگان'!$G63=2,'طیف فازی'!$C$3,IF('امتیاز دهی خبرگان'!$G63=3,'طیف فازی'!$C$4,IF('امتیاز دهی خبرگان'!$G63=4,'طیف فازی'!$C$5,'طیف فازی'!$C$6)))))</f>
        <v>0.25</v>
      </c>
      <c r="Q63" s="19">
        <f>IF('امتیاز دهی خبرگان'!$G63=0,0,IF('امتیاز دهی خبرگان'!$G63=1,'طیف فازی'!$D$2,IF('امتیاز دهی خبرگان'!$G63=2,'طیف فازی'!$D$3,IF('امتیاز دهی خبرگان'!$G63=3,'طیف فازی'!$D$4,IF('امتیاز دهی خبرگان'!$G63=4,'طیف فازی'!$D$5,'طیف فازی'!$D$6)))))</f>
        <v>0.5</v>
      </c>
      <c r="R63" s="17">
        <f>IF('امتیاز دهی خبرگان'!$H63=0,0,IF('امتیاز دهی خبرگان'!$H63=1,'طیف فازی'!$B$2,IF('امتیاز دهی خبرگان'!$H63=2,'طیف فازی'!$B$3,IF('امتیاز دهی خبرگان'!$H63=3,'طیف فازی'!$B$4,IF('امتیاز دهی خبرگان'!$H63=4,'طیف فازی'!$B$5,'طیف فازی'!$B$6)))))</f>
        <v>0.25</v>
      </c>
      <c r="S63" s="18">
        <f>IF('امتیاز دهی خبرگان'!$H63=0,0,IF('امتیاز دهی خبرگان'!$H63=1,'طیف فازی'!$C$2,IF('امتیاز دهی خبرگان'!$H63=2,'طیف فازی'!$C$3,IF('امتیاز دهی خبرگان'!$H63=3,'طیف فازی'!$C$4,IF('امتیاز دهی خبرگان'!$H63=4,'طیف فازی'!$C$5,'طیف فازی'!$C$6)))))</f>
        <v>0.5</v>
      </c>
      <c r="T63" s="19">
        <f>IF('امتیاز دهی خبرگان'!$H63=0,0,IF('امتیاز دهی خبرگان'!$H63=1,'طیف فازی'!$D$2,IF('امتیاز دهی خبرگان'!$H63=2,'طیف فازی'!$D$3,IF('امتیاز دهی خبرگان'!$H63=3,'طیف فازی'!$D$4,IF('امتیاز دهی خبرگان'!$H63=4,'طیف فازی'!$D$5,'طیف فازی'!$D$6)))))</f>
        <v>0.75</v>
      </c>
      <c r="U63" s="17">
        <f>IF('امتیاز دهی خبرگان'!$I63=0,0,IF('امتیاز دهی خبرگان'!$I63=1,'طیف فازی'!$B$2,IF('امتیاز دهی خبرگان'!$I63=2,'طیف فازی'!$B$3,IF('امتیاز دهی خبرگان'!$I63=3,'طیف فازی'!$B$4,IF('امتیاز دهی خبرگان'!$I63=4,'طیف فازی'!$B$5,'طیف فازی'!$B$6)))))</f>
        <v>0.75</v>
      </c>
      <c r="V63" s="18">
        <f>IF('امتیاز دهی خبرگان'!$I63=0,0,IF('امتیاز دهی خبرگان'!$I63=1,'طیف فازی'!$C$2,IF('امتیاز دهی خبرگان'!$I63=2,'طیف فازی'!$C$3,IF('امتیاز دهی خبرگان'!$I63=3,'طیف فازی'!$C$4,IF('امتیاز دهی خبرگان'!$I63=4,'طیف فازی'!$C$5,'طیف فازی'!$C$6)))))</f>
        <v>1</v>
      </c>
      <c r="W63" s="19">
        <f>IF('امتیاز دهی خبرگان'!$I63=0,0,IF('امتیاز دهی خبرگان'!$I63=1,'طیف فازی'!$D$2,IF('امتیاز دهی خبرگان'!$I63=2,'طیف فازی'!$D$3,IF('امتیاز دهی خبرگان'!$I63=3,'طیف فازی'!$D$4,IF('امتیاز دهی خبرگان'!$I63=4,'طیف فازی'!$D$5,'طیف فازی'!$D$6)))))</f>
        <v>1</v>
      </c>
      <c r="X63" s="17">
        <f>IF('امتیاز دهی خبرگان'!$J63=0,0,IF('امتیاز دهی خبرگان'!$J63=1,'طیف فازی'!$B$2,IF('امتیاز دهی خبرگان'!$J63=2,'طیف فازی'!$B$3,IF('امتیاز دهی خبرگان'!$J63=3,'طیف فازی'!$B$4,IF('امتیاز دهی خبرگان'!$J63=4,'طیف فازی'!$B$5,'طیف فازی'!$B$6)))))</f>
        <v>0.75</v>
      </c>
      <c r="Y63" s="18">
        <f>IF('امتیاز دهی خبرگان'!$J63=0,0,IF('امتیاز دهی خبرگان'!$J63=1,'طیف فازی'!$C$2,IF('امتیاز دهی خبرگان'!$J63=2,'طیف فازی'!$C$3,IF('امتیاز دهی خبرگان'!$J63=3,'طیف فازی'!$C$4,IF('امتیاز دهی خبرگان'!$J63=4,'طیف فازی'!$C$5,'طیف فازی'!$C$6)))))</f>
        <v>1</v>
      </c>
      <c r="Z63" s="19">
        <f>IF('امتیاز دهی خبرگان'!$J63=0,0,IF('امتیاز دهی خبرگان'!$J63=1,'طیف فازی'!$D$2,IF('امتیاز دهی خبرگان'!$J63=2,'طیف فازی'!$D$3,IF('امتیاز دهی خبرگان'!$J63=3,'طیف فازی'!$D$4,IF('امتیاز دهی خبرگان'!$J63=4,'طیف فازی'!$D$5,'طیف فازی'!$D$6)))))</f>
        <v>1</v>
      </c>
      <c r="AA63" s="17">
        <f>IF('امتیاز دهی خبرگان'!$K63=0,0,IF('امتیاز دهی خبرگان'!$K63=1,'طیف فازی'!$B$2,IF('امتیاز دهی خبرگان'!$K63=2,'طیف فازی'!$B$3,IF('امتیاز دهی خبرگان'!$K63=3,'طیف فازی'!$B$4,IF('امتیاز دهی خبرگان'!$K63=4,'طیف فازی'!$B$5,'طیف فازی'!$B$6)))))</f>
        <v>0.5</v>
      </c>
      <c r="AB63" s="18">
        <f>IF('امتیاز دهی خبرگان'!$K63=0,0,IF('امتیاز دهی خبرگان'!$K63=1,'طیف فازی'!$C$2,IF('امتیاز دهی خبرگان'!$K63=2,'طیف فازی'!$C$3,IF('امتیاز دهی خبرگان'!$K63=3,'طیف فازی'!$C$4,IF('امتیاز دهی خبرگان'!$K63=4,'طیف فازی'!$C$5,'طیف فازی'!$C$6)))))</f>
        <v>0.75</v>
      </c>
      <c r="AC63" s="19">
        <f>IF('امتیاز دهی خبرگان'!$K63=0,0,IF('امتیاز دهی خبرگان'!$K63=1,'طیف فازی'!$D$2,IF('امتیاز دهی خبرگان'!$K63=2,'طیف فازی'!$D$3,IF('امتیاز دهی خبرگان'!$K63=3,'طیف فازی'!$D$4,IF('امتیاز دهی خبرگان'!$K63=4,'طیف فازی'!$D$5,'طیف فازی'!$D$6)))))</f>
        <v>1</v>
      </c>
      <c r="AD63" s="17">
        <f>IF('امتیاز دهی خبرگان'!$L63=0,0,IF('امتیاز دهی خبرگان'!$L63=1,'طیف فازی'!$B$2,IF('امتیاز دهی خبرگان'!$L63=2,'طیف فازی'!$B$3,IF('امتیاز دهی خبرگان'!$L63=3,'طیف فازی'!$B$4,IF('امتیاز دهی خبرگان'!$L63=4,'طیف فازی'!$B$5,'طیف فازی'!$B$6)))))</f>
        <v>0.75</v>
      </c>
      <c r="AE63" s="18">
        <f>IF('امتیاز دهی خبرگان'!$L63=0,0,IF('امتیاز دهی خبرگان'!$L63=1,'طیف فازی'!$C$2,IF('امتیاز دهی خبرگان'!$L63=2,'طیف فازی'!$C$3,IF('امتیاز دهی خبرگان'!$L63=3,'طیف فازی'!$C$4,IF('امتیاز دهی خبرگان'!$L63=4,'طیف فازی'!$C$5,'طیف فازی'!$C$6)))))</f>
        <v>1</v>
      </c>
      <c r="AF63" s="19">
        <f>IF('امتیاز دهی خبرگان'!$L63=0,0,IF('امتیاز دهی خبرگان'!$L63=1,'طیف فازی'!$D$2,IF('امتیاز دهی خبرگان'!$L63=2,'طیف فازی'!$D$3,IF('امتیاز دهی خبرگان'!$L63=3,'طیف فازی'!$D$4,IF('امتیاز دهی خبرگان'!$L63=4,'طیف فازی'!$D$5,'طیف فازی'!$D$6)))))</f>
        <v>1</v>
      </c>
      <c r="AG63" s="17">
        <f>IF('امتیاز دهی خبرگان'!$M63=0,0,IF('امتیاز دهی خبرگان'!$M63=1,'طیف فازی'!$B$2,IF('امتیاز دهی خبرگان'!$M63=2,'طیف فازی'!$B$3,IF('امتیاز دهی خبرگان'!$M63=3,'طیف فازی'!$B$4,IF('امتیاز دهی خبرگان'!$M63=4,'طیف فازی'!$B$5,'طیف فازی'!$B$6)))))</f>
        <v>0.5</v>
      </c>
      <c r="AH63" s="18">
        <f>IF('امتیاز دهی خبرگان'!$M63=0,0,IF('امتیاز دهی خبرگان'!$M63=1,'طیف فازی'!$C$2,IF('امتیاز دهی خبرگان'!$M63=2,'طیف فازی'!$C$3,IF('امتیاز دهی خبرگان'!$M63=3,'طیف فازی'!$C$4,IF('امتیاز دهی خبرگان'!$M63=4,'طیف فازی'!$C$5,'طیف فازی'!$C$6)))))</f>
        <v>0.75</v>
      </c>
      <c r="AI63" s="19">
        <f>IF('امتیاز دهی خبرگان'!$M63=0,0,IF('امتیاز دهی خبرگان'!$M63=1,'طیف فازی'!$D$2,IF('امتیاز دهی خبرگان'!$M63=2,'طیف فازی'!$D$3,IF('امتیاز دهی خبرگان'!$M63=3,'طیف فازی'!$D$4,IF('امتیاز دهی خبرگان'!$M63=4,'طیف فازی'!$D$5,'طیف فازی'!$D$6)))))</f>
        <v>1</v>
      </c>
      <c r="AJ63" s="17">
        <f>IF('امتیاز دهی خبرگان'!$N63=0,0,IF('امتیاز دهی خبرگان'!$N63=1,'طیف فازی'!$B$2,IF('امتیاز دهی خبرگان'!$N63=2,'طیف فازی'!$B$3,IF('امتیاز دهی خبرگان'!$N63=3,'طیف فازی'!$B$4,IF('امتیاز دهی خبرگان'!$N63=4,'طیف فازی'!$B$5,'طیف فازی'!$B$6)))))</f>
        <v>0.75</v>
      </c>
      <c r="AK63" s="18">
        <f>IF('امتیاز دهی خبرگان'!$N63=0,0,IF('امتیاز دهی خبرگان'!$N63=1,'طیف فازی'!$C$2,IF('امتیاز دهی خبرگان'!$N63=2,'طیف فازی'!$C$3,IF('امتیاز دهی خبرگان'!$N63=3,'طیف فازی'!$C$4,IF('امتیاز دهی خبرگان'!$N63=4,'طیف فازی'!$C$5,'طیف فازی'!$C$6)))))</f>
        <v>1</v>
      </c>
      <c r="AL63" s="19">
        <f>IF('امتیاز دهی خبرگان'!$N63=0,0,IF('امتیاز دهی خبرگان'!$N63=1,'طیف فازی'!$D$2,IF('امتیاز دهی خبرگان'!$N63=2,'طیف فازی'!$D$3,IF('امتیاز دهی خبرگان'!$N63=3,'طیف فازی'!$D$4,IF('امتیاز دهی خبرگان'!$N63=4,'طیف فازی'!$D$5,'طیف فازی'!$D$6)))))</f>
        <v>1</v>
      </c>
      <c r="AM63" s="23">
        <f t="shared" si="1"/>
        <v>6.75</v>
      </c>
      <c r="AN63" s="23">
        <f t="shared" si="2"/>
        <v>9.75</v>
      </c>
      <c r="AO63" s="24">
        <f t="shared" si="3"/>
        <v>11.25</v>
      </c>
      <c r="AP63" s="25">
        <f t="shared" si="4"/>
        <v>0.5625</v>
      </c>
      <c r="AQ63" s="23">
        <f t="shared" si="5"/>
        <v>0.8125</v>
      </c>
      <c r="AR63" s="24">
        <f t="shared" si="6"/>
        <v>0.9375</v>
      </c>
      <c r="AS63" s="24">
        <f t="shared" si="7"/>
        <v>0.77083333333333337</v>
      </c>
      <c r="AT63" s="24" t="str">
        <f t="shared" si="8"/>
        <v>Pass</v>
      </c>
    </row>
    <row r="64" spans="2:46" ht="23.25" customHeight="1" thickBot="1" x14ac:dyDescent="0.85">
      <c r="B64" s="2" t="s">
        <v>13</v>
      </c>
      <c r="C64" s="17">
        <f>IF('امتیاز دهی خبرگان'!$C64=0,0,IF('امتیاز دهی خبرگان'!$C64=1,'طیف فازی'!$B$2,IF('امتیاز دهی خبرگان'!$C64=2,'طیف فازی'!$B$3,IF('امتیاز دهی خبرگان'!$C64=3,'طیف فازی'!$B$4,IF('امتیاز دهی خبرگان'!$C64=4,'طیف فازی'!$B$5,'طیف فازی'!$B$6)))))</f>
        <v>0.75</v>
      </c>
      <c r="D64" s="18">
        <f>IF('امتیاز دهی خبرگان'!$C64=0,0,IF('امتیاز دهی خبرگان'!$C64=1,'طیف فازی'!$C$2,IF('امتیاز دهی خبرگان'!$C64=2,'طیف فازی'!$C$3,IF('امتیاز دهی خبرگان'!$C64=3,'طیف فازی'!$C$4,IF('امتیاز دهی خبرگان'!$C64=4,'طیف فازی'!$C$5,'طیف فازی'!$C$6)))))</f>
        <v>1</v>
      </c>
      <c r="E64" s="19">
        <f>IF('امتیاز دهی خبرگان'!$C64=0,0,IF('امتیاز دهی خبرگان'!$C64=1,'طیف فازی'!$D$2,IF('امتیاز دهی خبرگان'!$C64=2,'طیف فازی'!$D$3,IF('امتیاز دهی خبرگان'!$C64=3,'طیف فازی'!$D$4,IF('امتیاز دهی خبرگان'!$C64=4,'طیف فازی'!$D$5,'طیف فازی'!$D$6)))))</f>
        <v>1</v>
      </c>
      <c r="F64" s="20">
        <f>IF('امتیاز دهی خبرگان'!$D64=0,0,IF('امتیاز دهی خبرگان'!$D64=1,'طیف فازی'!$B$2,IF('امتیاز دهی خبرگان'!$D64=2,'طیف فازی'!$B$3,IF('امتیاز دهی خبرگان'!$D64=3,'طیف فازی'!$B$4,IF('امتیاز دهی خبرگان'!$D64=4,'طیف فازی'!$B$5,'طیف فازی'!$B$6)))))</f>
        <v>0.5</v>
      </c>
      <c r="G64" s="21">
        <f>IF('امتیاز دهی خبرگان'!$D64=0,0,IF('امتیاز دهی خبرگان'!$D64=1,'طیف فازی'!$D$2,IF('امتیاز دهی خبرگان'!$D64=2,'طیف فازی'!$C$3,IF('امتیاز دهی خبرگان'!$D64=3,'طیف فازی'!$C$4,IF('امتیاز دهی خبرگان'!$D64=4,'طیف فازی'!$C$5,'طیف فازی'!$C$6)))))</f>
        <v>0.75</v>
      </c>
      <c r="H64" s="22">
        <f>IF('امتیاز دهی خبرگان'!$D64=0,0,IF('امتیاز دهی خبرگان'!$D64=1,'طیف فازی'!$D$2,IF('امتیاز دهی خبرگان'!$D64=2,'طیف فازی'!$D$3,IF('امتیاز دهی خبرگان'!$D64=3,'طیف فازی'!$D$4,IF('امتیاز دهی خبرگان'!$D64=4,'طیف فازی'!$D$5,'طیف فازی'!$D$6)))))</f>
        <v>1</v>
      </c>
      <c r="I64" s="17">
        <f>IF('امتیاز دهی خبرگان'!$E64=0,0,IF('امتیاز دهی خبرگان'!$E64=1,'طیف فازی'!$B$2,IF('امتیاز دهی خبرگان'!$E64=2,'طیف فازی'!$B$3,IF('امتیاز دهی خبرگان'!$E64=3,'طیف فازی'!$B$4,IF('امتیاز دهی خبرگان'!$E64=4,'طیف فازی'!$B$5,'طیف فازی'!$B$6)))))</f>
        <v>0.75</v>
      </c>
      <c r="J64" s="18">
        <f>IF('امتیاز دهی خبرگان'!$E64=0,0,IF('امتیاز دهی خبرگان'!$E64=1,'طیف فازی'!$C$2,IF('امتیاز دهی خبرگان'!$E64=2,'طیف فازی'!$C$3,IF('امتیاز دهی خبرگان'!$E64=3,'طیف فازی'!$C$4,IF('امتیاز دهی خبرگان'!$E64=4,'طیف فازی'!$C$5,'طیف فازی'!$C$6)))))</f>
        <v>1</v>
      </c>
      <c r="K64" s="19">
        <f>IF('امتیاز دهی خبرگان'!$E64=0,0,IF('امتیاز دهی خبرگان'!$E64=1,'طیف فازی'!$D$2,IF('امتیاز دهی خبرگان'!$E64=2,'طیف فازی'!$D$3,IF('امتیاز دهی خبرگان'!$E64=3,'طیف فازی'!$D$4,IF('امتیاز دهی خبرگان'!$E64=4,'طیف فازی'!$D$5,'طیف فازی'!$D$6)))))</f>
        <v>1</v>
      </c>
      <c r="L64" s="17">
        <f>IF('امتیاز دهی خبرگان'!$F64=0,0,IF('امتیاز دهی خبرگان'!$F64=1,'طیف فازی'!$B$2,IF('امتیاز دهی خبرگان'!$F64=2,'طیف فازی'!$B$3,IF('امتیاز دهی خبرگان'!$F64=3,'طیف فازی'!$B$4,IF('امتیاز دهی خبرگان'!$F64=4,'طیف فازی'!$B$5,'طیف فازی'!$B$6)))))</f>
        <v>0.25</v>
      </c>
      <c r="M64" s="18">
        <f>IF('امتیاز دهی خبرگان'!$F64=0,0,IF('امتیاز دهی خبرگان'!$F64=1,'طیف فازی'!$C$2,IF('امتیاز دهی خبرگان'!$F64=2,'طیف فازی'!$C$3,IF('امتیاز دهی خبرگان'!$F64=3,'طیف فازی'!$C$4,IF('امتیاز دهی خبرگان'!$F64=4,'طیف فازی'!$C$5,'طیف فازی'!$C$6)))))</f>
        <v>0.5</v>
      </c>
      <c r="N64" s="19">
        <f>IF('امتیاز دهی خبرگان'!$F64=0,0,IF('امتیاز دهی خبرگان'!$F64=1,'طیف فازی'!$D$2,IF('امتیاز دهی خبرگان'!$F64=2,'طیف فازی'!$D$3,IF('امتیاز دهی خبرگان'!$F64=3,'طیف فازی'!$D$4,IF('امتیاز دهی خبرگان'!$F64=4,'طیف فازی'!$D$5,'طیف فازی'!$D$6)))))</f>
        <v>0.75</v>
      </c>
      <c r="O64" s="17">
        <f>IF('امتیاز دهی خبرگان'!$G64=0,0,IF('امتیاز دهی خبرگان'!$G64=1,'طیف فازی'!$B$2,IF('امتیاز دهی خبرگان'!$G64=2,'طیف فازی'!$B$3,IF('امتیاز دهی خبرگان'!$G64=3,'طیف فازی'!$B$4,IF('امتیاز دهی خبرگان'!$G64=4,'طیف فازی'!$B$5,'طیف فازی'!$B$6)))))</f>
        <v>0.75</v>
      </c>
      <c r="P64" s="18">
        <f>IF('امتیاز دهی خبرگان'!$G64=0,0,IF('امتیاز دهی خبرگان'!$G64=1,'طیف فازی'!$C$2,IF('امتیاز دهی خبرگان'!$G64=2,'طیف فازی'!$C$3,IF('امتیاز دهی خبرگان'!$G64=3,'طیف فازی'!$C$4,IF('امتیاز دهی خبرگان'!$G64=4,'طیف فازی'!$C$5,'طیف فازی'!$C$6)))))</f>
        <v>1</v>
      </c>
      <c r="Q64" s="19">
        <f>IF('امتیاز دهی خبرگان'!$G64=0,0,IF('امتیاز دهی خبرگان'!$G64=1,'طیف فازی'!$D$2,IF('امتیاز دهی خبرگان'!$G64=2,'طیف فازی'!$D$3,IF('امتیاز دهی خبرگان'!$G64=3,'طیف فازی'!$D$4,IF('امتیاز دهی خبرگان'!$G64=4,'طیف فازی'!$D$5,'طیف فازی'!$D$6)))))</f>
        <v>1</v>
      </c>
      <c r="R64" s="17">
        <f>IF('امتیاز دهی خبرگان'!$H64=0,0,IF('امتیاز دهی خبرگان'!$H64=1,'طیف فازی'!$B$2,IF('امتیاز دهی خبرگان'!$H64=2,'طیف فازی'!$B$3,IF('امتیاز دهی خبرگان'!$H64=3,'طیف فازی'!$B$4,IF('امتیاز دهی خبرگان'!$H64=4,'طیف فازی'!$B$5,'طیف فازی'!$B$6)))))</f>
        <v>0.5</v>
      </c>
      <c r="S64" s="18">
        <f>IF('امتیاز دهی خبرگان'!$H64=0,0,IF('امتیاز دهی خبرگان'!$H64=1,'طیف فازی'!$C$2,IF('امتیاز دهی خبرگان'!$H64=2,'طیف فازی'!$C$3,IF('امتیاز دهی خبرگان'!$H64=3,'طیف فازی'!$C$4,IF('امتیاز دهی خبرگان'!$H64=4,'طیف فازی'!$C$5,'طیف فازی'!$C$6)))))</f>
        <v>0.75</v>
      </c>
      <c r="T64" s="19">
        <f>IF('امتیاز دهی خبرگان'!$H64=0,0,IF('امتیاز دهی خبرگان'!$H64=1,'طیف فازی'!$D$2,IF('امتیاز دهی خبرگان'!$H64=2,'طیف فازی'!$D$3,IF('امتیاز دهی خبرگان'!$H64=3,'طیف فازی'!$D$4,IF('امتیاز دهی خبرگان'!$H64=4,'طیف فازی'!$D$5,'طیف فازی'!$D$6)))))</f>
        <v>1</v>
      </c>
      <c r="U64" s="17">
        <f>IF('امتیاز دهی خبرگان'!$I64=0,0,IF('امتیاز دهی خبرگان'!$I64=1,'طیف فازی'!$B$2,IF('امتیاز دهی خبرگان'!$I64=2,'طیف فازی'!$B$3,IF('امتیاز دهی خبرگان'!$I64=3,'طیف فازی'!$B$4,IF('امتیاز دهی خبرگان'!$I64=4,'طیف فازی'!$B$5,'طیف فازی'!$B$6)))))</f>
        <v>0.5</v>
      </c>
      <c r="V64" s="18">
        <f>IF('امتیاز دهی خبرگان'!$I64=0,0,IF('امتیاز دهی خبرگان'!$I64=1,'طیف فازی'!$C$2,IF('امتیاز دهی خبرگان'!$I64=2,'طیف فازی'!$C$3,IF('امتیاز دهی خبرگان'!$I64=3,'طیف فازی'!$C$4,IF('امتیاز دهی خبرگان'!$I64=4,'طیف فازی'!$C$5,'طیف فازی'!$C$6)))))</f>
        <v>0.75</v>
      </c>
      <c r="W64" s="19">
        <f>IF('امتیاز دهی خبرگان'!$I64=0,0,IF('امتیاز دهی خبرگان'!$I64=1,'طیف فازی'!$D$2,IF('امتیاز دهی خبرگان'!$I64=2,'طیف فازی'!$D$3,IF('امتیاز دهی خبرگان'!$I64=3,'طیف فازی'!$D$4,IF('امتیاز دهی خبرگان'!$I64=4,'طیف فازی'!$D$5,'طیف فازی'!$D$6)))))</f>
        <v>1</v>
      </c>
      <c r="X64" s="17">
        <f>IF('امتیاز دهی خبرگان'!$J64=0,0,IF('امتیاز دهی خبرگان'!$J64=1,'طیف فازی'!$B$2,IF('امتیاز دهی خبرگان'!$J64=2,'طیف فازی'!$B$3,IF('امتیاز دهی خبرگان'!$J64=3,'طیف فازی'!$B$4,IF('امتیاز دهی خبرگان'!$J64=4,'طیف فازی'!$B$5,'طیف فازی'!$B$6)))))</f>
        <v>0.5</v>
      </c>
      <c r="Y64" s="18">
        <f>IF('امتیاز دهی خبرگان'!$J64=0,0,IF('امتیاز دهی خبرگان'!$J64=1,'طیف فازی'!$C$2,IF('امتیاز دهی خبرگان'!$J64=2,'طیف فازی'!$C$3,IF('امتیاز دهی خبرگان'!$J64=3,'طیف فازی'!$C$4,IF('امتیاز دهی خبرگان'!$J64=4,'طیف فازی'!$C$5,'طیف فازی'!$C$6)))))</f>
        <v>0.75</v>
      </c>
      <c r="Z64" s="19">
        <f>IF('امتیاز دهی خبرگان'!$J64=0,0,IF('امتیاز دهی خبرگان'!$J64=1,'طیف فازی'!$D$2,IF('امتیاز دهی خبرگان'!$J64=2,'طیف فازی'!$D$3,IF('امتیاز دهی خبرگان'!$J64=3,'طیف فازی'!$D$4,IF('امتیاز دهی خبرگان'!$J64=4,'طیف فازی'!$D$5,'طیف فازی'!$D$6)))))</f>
        <v>1</v>
      </c>
      <c r="AA64" s="17">
        <f>IF('امتیاز دهی خبرگان'!$K64=0,0,IF('امتیاز دهی خبرگان'!$K64=1,'طیف فازی'!$B$2,IF('امتیاز دهی خبرگان'!$K64=2,'طیف فازی'!$B$3,IF('امتیاز دهی خبرگان'!$K64=3,'طیف فازی'!$B$4,IF('امتیاز دهی خبرگان'!$K64=4,'طیف فازی'!$B$5,'طیف فازی'!$B$6)))))</f>
        <v>0.5</v>
      </c>
      <c r="AB64" s="18">
        <f>IF('امتیاز دهی خبرگان'!$K64=0,0,IF('امتیاز دهی خبرگان'!$K64=1,'طیف فازی'!$C$2,IF('امتیاز دهی خبرگان'!$K64=2,'طیف فازی'!$C$3,IF('امتیاز دهی خبرگان'!$K64=3,'طیف فازی'!$C$4,IF('امتیاز دهی خبرگان'!$K64=4,'طیف فازی'!$C$5,'طیف فازی'!$C$6)))))</f>
        <v>0.75</v>
      </c>
      <c r="AC64" s="19">
        <f>IF('امتیاز دهی خبرگان'!$K64=0,0,IF('امتیاز دهی خبرگان'!$K64=1,'طیف فازی'!$D$2,IF('امتیاز دهی خبرگان'!$K64=2,'طیف فازی'!$D$3,IF('امتیاز دهی خبرگان'!$K64=3,'طیف فازی'!$D$4,IF('امتیاز دهی خبرگان'!$K64=4,'طیف فازی'!$D$5,'طیف فازی'!$D$6)))))</f>
        <v>1</v>
      </c>
      <c r="AD64" s="17">
        <f>IF('امتیاز دهی خبرگان'!$L64=0,0,IF('امتیاز دهی خبرگان'!$L64=1,'طیف فازی'!$B$2,IF('امتیاز دهی خبرگان'!$L64=2,'طیف فازی'!$B$3,IF('امتیاز دهی خبرگان'!$L64=3,'طیف فازی'!$B$4,IF('امتیاز دهی خبرگان'!$L64=4,'طیف فازی'!$B$5,'طیف فازی'!$B$6)))))</f>
        <v>0.5</v>
      </c>
      <c r="AE64" s="18">
        <f>IF('امتیاز دهی خبرگان'!$L64=0,0,IF('امتیاز دهی خبرگان'!$L64=1,'طیف فازی'!$C$2,IF('امتیاز دهی خبرگان'!$L64=2,'طیف فازی'!$C$3,IF('امتیاز دهی خبرگان'!$L64=3,'طیف فازی'!$C$4,IF('امتیاز دهی خبرگان'!$L64=4,'طیف فازی'!$C$5,'طیف فازی'!$C$6)))))</f>
        <v>0.75</v>
      </c>
      <c r="AF64" s="19">
        <f>IF('امتیاز دهی خبرگان'!$L64=0,0,IF('امتیاز دهی خبرگان'!$L64=1,'طیف فازی'!$D$2,IF('امتیاز دهی خبرگان'!$L64=2,'طیف فازی'!$D$3,IF('امتیاز دهی خبرگان'!$L64=3,'طیف فازی'!$D$4,IF('امتیاز دهی خبرگان'!$L64=4,'طیف فازی'!$D$5,'طیف فازی'!$D$6)))))</f>
        <v>1</v>
      </c>
      <c r="AG64" s="17">
        <f>IF('امتیاز دهی خبرگان'!$M64=0,0,IF('امتیاز دهی خبرگان'!$M64=1,'طیف فازی'!$B$2,IF('امتیاز دهی خبرگان'!$M64=2,'طیف فازی'!$B$3,IF('امتیاز دهی خبرگان'!$M64=3,'طیف فازی'!$B$4,IF('امتیاز دهی خبرگان'!$M64=4,'طیف فازی'!$B$5,'طیف فازی'!$B$6)))))</f>
        <v>0.5</v>
      </c>
      <c r="AH64" s="18">
        <f>IF('امتیاز دهی خبرگان'!$M64=0,0,IF('امتیاز دهی خبرگان'!$M64=1,'طیف فازی'!$C$2,IF('امتیاز دهی خبرگان'!$M64=2,'طیف فازی'!$C$3,IF('امتیاز دهی خبرگان'!$M64=3,'طیف فازی'!$C$4,IF('امتیاز دهی خبرگان'!$M64=4,'طیف فازی'!$C$5,'طیف فازی'!$C$6)))))</f>
        <v>0.75</v>
      </c>
      <c r="AI64" s="19">
        <f>IF('امتیاز دهی خبرگان'!$M64=0,0,IF('امتیاز دهی خبرگان'!$M64=1,'طیف فازی'!$D$2,IF('امتیاز دهی خبرگان'!$M64=2,'طیف فازی'!$D$3,IF('امتیاز دهی خبرگان'!$M64=3,'طیف فازی'!$D$4,IF('امتیاز دهی خبرگان'!$M64=4,'طیف فازی'!$D$5,'طیف فازی'!$D$6)))))</f>
        <v>1</v>
      </c>
      <c r="AJ64" s="17">
        <f>IF('امتیاز دهی خبرگان'!$N64=0,0,IF('امتیاز دهی خبرگان'!$N64=1,'طیف فازی'!$B$2,IF('امتیاز دهی خبرگان'!$N64=2,'طیف فازی'!$B$3,IF('امتیاز دهی خبرگان'!$N64=3,'طیف فازی'!$B$4,IF('امتیاز دهی خبرگان'!$N64=4,'طیف فازی'!$B$5,'طیف فازی'!$B$6)))))</f>
        <v>0.5</v>
      </c>
      <c r="AK64" s="18">
        <f>IF('امتیاز دهی خبرگان'!$N64=0,0,IF('امتیاز دهی خبرگان'!$N64=1,'طیف فازی'!$C$2,IF('امتیاز دهی خبرگان'!$N64=2,'طیف فازی'!$C$3,IF('امتیاز دهی خبرگان'!$N64=3,'طیف فازی'!$C$4,IF('امتیاز دهی خبرگان'!$N64=4,'طیف فازی'!$C$5,'طیف فازی'!$C$6)))))</f>
        <v>0.75</v>
      </c>
      <c r="AL64" s="19">
        <f>IF('امتیاز دهی خبرگان'!$N64=0,0,IF('امتیاز دهی خبرگان'!$N64=1,'طیف فازی'!$D$2,IF('امتیاز دهی خبرگان'!$N64=2,'طیف فازی'!$D$3,IF('امتیاز دهی خبرگان'!$N64=3,'طیف فازی'!$D$4,IF('امتیاز دهی خبرگان'!$N64=4,'طیف فازی'!$D$5,'طیف فازی'!$D$6)))))</f>
        <v>1</v>
      </c>
      <c r="AM64" s="23">
        <f t="shared" si="1"/>
        <v>6.5</v>
      </c>
      <c r="AN64" s="23">
        <f t="shared" si="2"/>
        <v>9.5</v>
      </c>
      <c r="AO64" s="24">
        <f t="shared" si="3"/>
        <v>11.75</v>
      </c>
      <c r="AP64" s="25">
        <f t="shared" si="4"/>
        <v>0.54166666666666663</v>
      </c>
      <c r="AQ64" s="23">
        <f t="shared" si="5"/>
        <v>0.79166666666666663</v>
      </c>
      <c r="AR64" s="24">
        <f t="shared" si="6"/>
        <v>0.97916666666666663</v>
      </c>
      <c r="AS64" s="24">
        <f t="shared" si="7"/>
        <v>0.77083333333333337</v>
      </c>
      <c r="AT64" s="24" t="str">
        <f t="shared" si="8"/>
        <v>Pass</v>
      </c>
    </row>
    <row r="65" spans="2:46" ht="23.25" customHeight="1" thickBot="1" x14ac:dyDescent="0.85">
      <c r="B65" s="2">
        <v>62</v>
      </c>
      <c r="C65" s="17">
        <f>IF('امتیاز دهی خبرگان'!$C65=0,0,IF('امتیاز دهی خبرگان'!$C65=1,'طیف فازی'!$B$2,IF('امتیاز دهی خبرگان'!$C65=2,'طیف فازی'!$B$3,IF('امتیاز دهی خبرگان'!$C65=3,'طیف فازی'!$B$4,IF('امتیاز دهی خبرگان'!$C65=4,'طیف فازی'!$B$5,'طیف فازی'!$B$6)))))</f>
        <v>0.75</v>
      </c>
      <c r="D65" s="18">
        <f>IF('امتیاز دهی خبرگان'!$C65=0,0,IF('امتیاز دهی خبرگان'!$C65=1,'طیف فازی'!$C$2,IF('امتیاز دهی خبرگان'!$C65=2,'طیف فازی'!$C$3,IF('امتیاز دهی خبرگان'!$C65=3,'طیف فازی'!$C$4,IF('امتیاز دهی خبرگان'!$C65=4,'طیف فازی'!$C$5,'طیف فازی'!$C$6)))))</f>
        <v>1</v>
      </c>
      <c r="E65" s="19">
        <f>IF('امتیاز دهی خبرگان'!$C65=0,0,IF('امتیاز دهی خبرگان'!$C65=1,'طیف فازی'!$D$2,IF('امتیاز دهی خبرگان'!$C65=2,'طیف فازی'!$D$3,IF('امتیاز دهی خبرگان'!$C65=3,'طیف فازی'!$D$4,IF('امتیاز دهی خبرگان'!$C65=4,'طیف فازی'!$D$5,'طیف فازی'!$D$6)))))</f>
        <v>1</v>
      </c>
      <c r="F65" s="20">
        <f>IF('امتیاز دهی خبرگان'!$D65=0,0,IF('امتیاز دهی خبرگان'!$D65=1,'طیف فازی'!$B$2,IF('امتیاز دهی خبرگان'!$D65=2,'طیف فازی'!$B$3,IF('امتیاز دهی خبرگان'!$D65=3,'طیف فازی'!$B$4,IF('امتیاز دهی خبرگان'!$D65=4,'طیف فازی'!$B$5,'طیف فازی'!$B$6)))))</f>
        <v>0.25</v>
      </c>
      <c r="G65" s="21">
        <f>IF('امتیاز دهی خبرگان'!$D65=0,0,IF('امتیاز دهی خبرگان'!$D65=1,'طیف فازی'!$D$2,IF('امتیاز دهی خبرگان'!$D65=2,'طیف فازی'!$C$3,IF('امتیاز دهی خبرگان'!$D65=3,'طیف فازی'!$C$4,IF('امتیاز دهی خبرگان'!$D65=4,'طیف فازی'!$C$5,'طیف فازی'!$C$6)))))</f>
        <v>0.5</v>
      </c>
      <c r="H65" s="22">
        <f>IF('امتیاز دهی خبرگان'!$D65=0,0,IF('امتیاز دهی خبرگان'!$D65=1,'طیف فازی'!$D$2,IF('امتیاز دهی خبرگان'!$D65=2,'طیف فازی'!$D$3,IF('امتیاز دهی خبرگان'!$D65=3,'طیف فازی'!$D$4,IF('امتیاز دهی خبرگان'!$D65=4,'طیف فازی'!$D$5,'طیف فازی'!$D$6)))))</f>
        <v>0.75</v>
      </c>
      <c r="I65" s="17">
        <f>IF('امتیاز دهی خبرگان'!$E65=0,0,IF('امتیاز دهی خبرگان'!$E65=1,'طیف فازی'!$B$2,IF('امتیاز دهی خبرگان'!$E65=2,'طیف فازی'!$B$3,IF('امتیاز دهی خبرگان'!$E65=3,'طیف فازی'!$B$4,IF('امتیاز دهی خبرگان'!$E65=4,'طیف فازی'!$B$5,'طیف فازی'!$B$6)))))</f>
        <v>0.75</v>
      </c>
      <c r="J65" s="18">
        <f>IF('امتیاز دهی خبرگان'!$E65=0,0,IF('امتیاز دهی خبرگان'!$E65=1,'طیف فازی'!$C$2,IF('امتیاز دهی خبرگان'!$E65=2,'طیف فازی'!$C$3,IF('امتیاز دهی خبرگان'!$E65=3,'طیف فازی'!$C$4,IF('امتیاز دهی خبرگان'!$E65=4,'طیف فازی'!$C$5,'طیف فازی'!$C$6)))))</f>
        <v>1</v>
      </c>
      <c r="K65" s="19">
        <f>IF('امتیاز دهی خبرگان'!$E65=0,0,IF('امتیاز دهی خبرگان'!$E65=1,'طیف فازی'!$D$2,IF('امتیاز دهی خبرگان'!$E65=2,'طیف فازی'!$D$3,IF('امتیاز دهی خبرگان'!$E65=3,'طیف فازی'!$D$4,IF('امتیاز دهی خبرگان'!$E65=4,'طیف فازی'!$D$5,'طیف فازی'!$D$6)))))</f>
        <v>1</v>
      </c>
      <c r="L65" s="17">
        <f>IF('امتیاز دهی خبرگان'!$F65=0,0,IF('امتیاز دهی خبرگان'!$F65=1,'طیف فازی'!$B$2,IF('امتیاز دهی خبرگان'!$F65=2,'طیف فازی'!$B$3,IF('امتیاز دهی خبرگان'!$F65=3,'طیف فازی'!$B$4,IF('امتیاز دهی خبرگان'!$F65=4,'طیف فازی'!$B$5,'طیف فازی'!$B$6)))))</f>
        <v>0.25</v>
      </c>
      <c r="M65" s="18">
        <f>IF('امتیاز دهی خبرگان'!$F65=0,0,IF('امتیاز دهی خبرگان'!$F65=1,'طیف فازی'!$C$2,IF('امتیاز دهی خبرگان'!$F65=2,'طیف فازی'!$C$3,IF('امتیاز دهی خبرگان'!$F65=3,'طیف فازی'!$C$4,IF('امتیاز دهی خبرگان'!$F65=4,'طیف فازی'!$C$5,'طیف فازی'!$C$6)))))</f>
        <v>0.5</v>
      </c>
      <c r="N65" s="19">
        <f>IF('امتیاز دهی خبرگان'!$F65=0,0,IF('امتیاز دهی خبرگان'!$F65=1,'طیف فازی'!$D$2,IF('امتیاز دهی خبرگان'!$F65=2,'طیف فازی'!$D$3,IF('امتیاز دهی خبرگان'!$F65=3,'طیف فازی'!$D$4,IF('امتیاز دهی خبرگان'!$F65=4,'طیف فازی'!$D$5,'طیف فازی'!$D$6)))))</f>
        <v>0.75</v>
      </c>
      <c r="O65" s="17">
        <f>IF('امتیاز دهی خبرگان'!$G65=0,0,IF('امتیاز دهی خبرگان'!$G65=1,'طیف فازی'!$B$2,IF('امتیاز دهی خبرگان'!$G65=2,'طیف فازی'!$B$3,IF('امتیاز دهی خبرگان'!$G65=3,'طیف فازی'!$B$4,IF('امتیاز دهی خبرگان'!$G65=4,'طیف فازی'!$B$5,'طیف فازی'!$B$6)))))</f>
        <v>0.75</v>
      </c>
      <c r="P65" s="18">
        <f>IF('امتیاز دهی خبرگان'!$G65=0,0,IF('امتیاز دهی خبرگان'!$G65=1,'طیف فازی'!$C$2,IF('امتیاز دهی خبرگان'!$G65=2,'طیف فازی'!$C$3,IF('امتیاز دهی خبرگان'!$G65=3,'طیف فازی'!$C$4,IF('امتیاز دهی خبرگان'!$G65=4,'طیف فازی'!$C$5,'طیف فازی'!$C$6)))))</f>
        <v>1</v>
      </c>
      <c r="Q65" s="19">
        <f>IF('امتیاز دهی خبرگان'!$G65=0,0,IF('امتیاز دهی خبرگان'!$G65=1,'طیف فازی'!$D$2,IF('امتیاز دهی خبرگان'!$G65=2,'طیف فازی'!$D$3,IF('امتیاز دهی خبرگان'!$G65=3,'طیف فازی'!$D$4,IF('امتیاز دهی خبرگان'!$G65=4,'طیف فازی'!$D$5,'طیف فازی'!$D$6)))))</f>
        <v>1</v>
      </c>
      <c r="R65" s="17">
        <f>IF('امتیاز دهی خبرگان'!$H65=0,0,IF('امتیاز دهی خبرگان'!$H65=1,'طیف فازی'!$B$2,IF('امتیاز دهی خبرگان'!$H65=2,'طیف فازی'!$B$3,IF('امتیاز دهی خبرگان'!$H65=3,'طیف فازی'!$B$4,IF('امتیاز دهی خبرگان'!$H65=4,'طیف فازی'!$B$5,'طیف فازی'!$B$6)))))</f>
        <v>0.5</v>
      </c>
      <c r="S65" s="18">
        <f>IF('امتیاز دهی خبرگان'!$H65=0,0,IF('امتیاز دهی خبرگان'!$H65=1,'طیف فازی'!$C$2,IF('امتیاز دهی خبرگان'!$H65=2,'طیف فازی'!$C$3,IF('امتیاز دهی خبرگان'!$H65=3,'طیف فازی'!$C$4,IF('امتیاز دهی خبرگان'!$H65=4,'طیف فازی'!$C$5,'طیف فازی'!$C$6)))))</f>
        <v>0.75</v>
      </c>
      <c r="T65" s="19">
        <f>IF('امتیاز دهی خبرگان'!$H65=0,0,IF('امتیاز دهی خبرگان'!$H65=1,'طیف فازی'!$D$2,IF('امتیاز دهی خبرگان'!$H65=2,'طیف فازی'!$D$3,IF('امتیاز دهی خبرگان'!$H65=3,'طیف فازی'!$D$4,IF('امتیاز دهی خبرگان'!$H65=4,'طیف فازی'!$D$5,'طیف فازی'!$D$6)))))</f>
        <v>1</v>
      </c>
      <c r="U65" s="17">
        <f>IF('امتیاز دهی خبرگان'!$I65=0,0,IF('امتیاز دهی خبرگان'!$I65=1,'طیف فازی'!$B$2,IF('امتیاز دهی خبرگان'!$I65=2,'طیف فازی'!$B$3,IF('امتیاز دهی خبرگان'!$I65=3,'طیف فازی'!$B$4,IF('امتیاز دهی خبرگان'!$I65=4,'طیف فازی'!$B$5,'طیف فازی'!$B$6)))))</f>
        <v>0.5</v>
      </c>
      <c r="V65" s="18">
        <f>IF('امتیاز دهی خبرگان'!$I65=0,0,IF('امتیاز دهی خبرگان'!$I65=1,'طیف فازی'!$C$2,IF('امتیاز دهی خبرگان'!$I65=2,'طیف فازی'!$C$3,IF('امتیاز دهی خبرگان'!$I65=3,'طیف فازی'!$C$4,IF('امتیاز دهی خبرگان'!$I65=4,'طیف فازی'!$C$5,'طیف فازی'!$C$6)))))</f>
        <v>0.75</v>
      </c>
      <c r="W65" s="19">
        <f>IF('امتیاز دهی خبرگان'!$I65=0,0,IF('امتیاز دهی خبرگان'!$I65=1,'طیف فازی'!$D$2,IF('امتیاز دهی خبرگان'!$I65=2,'طیف فازی'!$D$3,IF('امتیاز دهی خبرگان'!$I65=3,'طیف فازی'!$D$4,IF('امتیاز دهی خبرگان'!$I65=4,'طیف فازی'!$D$5,'طیف فازی'!$D$6)))))</f>
        <v>1</v>
      </c>
      <c r="X65" s="17">
        <f>IF('امتیاز دهی خبرگان'!$J65=0,0,IF('امتیاز دهی خبرگان'!$J65=1,'طیف فازی'!$B$2,IF('امتیاز دهی خبرگان'!$J65=2,'طیف فازی'!$B$3,IF('امتیاز دهی خبرگان'!$J65=3,'طیف فازی'!$B$4,IF('امتیاز دهی خبرگان'!$J65=4,'طیف فازی'!$B$5,'طیف فازی'!$B$6)))))</f>
        <v>0.5</v>
      </c>
      <c r="Y65" s="18">
        <f>IF('امتیاز دهی خبرگان'!$J65=0,0,IF('امتیاز دهی خبرگان'!$J65=1,'طیف فازی'!$C$2,IF('امتیاز دهی خبرگان'!$J65=2,'طیف فازی'!$C$3,IF('امتیاز دهی خبرگان'!$J65=3,'طیف فازی'!$C$4,IF('امتیاز دهی خبرگان'!$J65=4,'طیف فازی'!$C$5,'طیف فازی'!$C$6)))))</f>
        <v>0.75</v>
      </c>
      <c r="Z65" s="19">
        <f>IF('امتیاز دهی خبرگان'!$J65=0,0,IF('امتیاز دهی خبرگان'!$J65=1,'طیف فازی'!$D$2,IF('امتیاز دهی خبرگان'!$J65=2,'طیف فازی'!$D$3,IF('امتیاز دهی خبرگان'!$J65=3,'طیف فازی'!$D$4,IF('امتیاز دهی خبرگان'!$J65=4,'طیف فازی'!$D$5,'طیف فازی'!$D$6)))))</f>
        <v>1</v>
      </c>
      <c r="AA65" s="17">
        <f>IF('امتیاز دهی خبرگان'!$K65=0,0,IF('امتیاز دهی خبرگان'!$K65=1,'طیف فازی'!$B$2,IF('امتیاز دهی خبرگان'!$K65=2,'طیف فازی'!$B$3,IF('امتیاز دهی خبرگان'!$K65=3,'طیف فازی'!$B$4,IF('امتیاز دهی خبرگان'!$K65=4,'طیف فازی'!$B$5,'طیف فازی'!$B$6)))))</f>
        <v>0.5</v>
      </c>
      <c r="AB65" s="18">
        <f>IF('امتیاز دهی خبرگان'!$K65=0,0,IF('امتیاز دهی خبرگان'!$K65=1,'طیف فازی'!$C$2,IF('امتیاز دهی خبرگان'!$K65=2,'طیف فازی'!$C$3,IF('امتیاز دهی خبرگان'!$K65=3,'طیف فازی'!$C$4,IF('امتیاز دهی خبرگان'!$K65=4,'طیف فازی'!$C$5,'طیف فازی'!$C$6)))))</f>
        <v>0.75</v>
      </c>
      <c r="AC65" s="19">
        <f>IF('امتیاز دهی خبرگان'!$K65=0,0,IF('امتیاز دهی خبرگان'!$K65=1,'طیف فازی'!$D$2,IF('امتیاز دهی خبرگان'!$K65=2,'طیف فازی'!$D$3,IF('امتیاز دهی خبرگان'!$K65=3,'طیف فازی'!$D$4,IF('امتیاز دهی خبرگان'!$K65=4,'طیف فازی'!$D$5,'طیف فازی'!$D$6)))))</f>
        <v>1</v>
      </c>
      <c r="AD65" s="17">
        <f>IF('امتیاز دهی خبرگان'!$L65=0,0,IF('امتیاز دهی خبرگان'!$L65=1,'طیف فازی'!$B$2,IF('امتیاز دهی خبرگان'!$L65=2,'طیف فازی'!$B$3,IF('امتیاز دهی خبرگان'!$L65=3,'طیف فازی'!$B$4,IF('امتیاز دهی خبرگان'!$L65=4,'طیف فازی'!$B$5,'طیف فازی'!$B$6)))))</f>
        <v>0.5</v>
      </c>
      <c r="AE65" s="18">
        <f>IF('امتیاز دهی خبرگان'!$L65=0,0,IF('امتیاز دهی خبرگان'!$L65=1,'طیف فازی'!$C$2,IF('امتیاز دهی خبرگان'!$L65=2,'طیف فازی'!$C$3,IF('امتیاز دهی خبرگان'!$L65=3,'طیف فازی'!$C$4,IF('امتیاز دهی خبرگان'!$L65=4,'طیف فازی'!$C$5,'طیف فازی'!$C$6)))))</f>
        <v>0.75</v>
      </c>
      <c r="AF65" s="19">
        <f>IF('امتیاز دهی خبرگان'!$L65=0,0,IF('امتیاز دهی خبرگان'!$L65=1,'طیف فازی'!$D$2,IF('امتیاز دهی خبرگان'!$L65=2,'طیف فازی'!$D$3,IF('امتیاز دهی خبرگان'!$L65=3,'طیف فازی'!$D$4,IF('امتیاز دهی خبرگان'!$L65=4,'طیف فازی'!$D$5,'طیف فازی'!$D$6)))))</f>
        <v>1</v>
      </c>
      <c r="AG65" s="17">
        <f>IF('امتیاز دهی خبرگان'!$M65=0,0,IF('امتیاز دهی خبرگان'!$M65=1,'طیف فازی'!$B$2,IF('امتیاز دهی خبرگان'!$M65=2,'طیف فازی'!$B$3,IF('امتیاز دهی خبرگان'!$M65=3,'طیف فازی'!$B$4,IF('امتیاز دهی خبرگان'!$M65=4,'طیف فازی'!$B$5,'طیف فازی'!$B$6)))))</f>
        <v>0.5</v>
      </c>
      <c r="AH65" s="18">
        <f>IF('امتیاز دهی خبرگان'!$M65=0,0,IF('امتیاز دهی خبرگان'!$M65=1,'طیف فازی'!$C$2,IF('امتیاز دهی خبرگان'!$M65=2,'طیف فازی'!$C$3,IF('امتیاز دهی خبرگان'!$M65=3,'طیف فازی'!$C$4,IF('امتیاز دهی خبرگان'!$M65=4,'طیف فازی'!$C$5,'طیف فازی'!$C$6)))))</f>
        <v>0.75</v>
      </c>
      <c r="AI65" s="19">
        <f>IF('امتیاز دهی خبرگان'!$M65=0,0,IF('امتیاز دهی خبرگان'!$M65=1,'طیف فازی'!$D$2,IF('امتیاز دهی خبرگان'!$M65=2,'طیف فازی'!$D$3,IF('امتیاز دهی خبرگان'!$M65=3,'طیف فازی'!$D$4,IF('امتیاز دهی خبرگان'!$M65=4,'طیف فازی'!$D$5,'طیف فازی'!$D$6)))))</f>
        <v>1</v>
      </c>
      <c r="AJ65" s="17">
        <f>IF('امتیاز دهی خبرگان'!$N65=0,0,IF('امتیاز دهی خبرگان'!$N65=1,'طیف فازی'!$B$2,IF('امتیاز دهی خبرگان'!$N65=2,'طیف فازی'!$B$3,IF('امتیاز دهی خبرگان'!$N65=3,'طیف فازی'!$B$4,IF('امتیاز دهی خبرگان'!$N65=4,'طیف فازی'!$B$5,'طیف فازی'!$B$6)))))</f>
        <v>0.5</v>
      </c>
      <c r="AK65" s="18">
        <f>IF('امتیاز دهی خبرگان'!$N65=0,0,IF('امتیاز دهی خبرگان'!$N65=1,'طیف فازی'!$C$2,IF('امتیاز دهی خبرگان'!$N65=2,'طیف فازی'!$C$3,IF('امتیاز دهی خبرگان'!$N65=3,'طیف فازی'!$C$4,IF('امتیاز دهی خبرگان'!$N65=4,'طیف فازی'!$C$5,'طیف فازی'!$C$6)))))</f>
        <v>0.75</v>
      </c>
      <c r="AL65" s="19">
        <f>IF('امتیاز دهی خبرگان'!$N65=0,0,IF('امتیاز دهی خبرگان'!$N65=1,'طیف فازی'!$D$2,IF('امتیاز دهی خبرگان'!$N65=2,'طیف فازی'!$D$3,IF('امتیاز دهی خبرگان'!$N65=3,'طیف فازی'!$D$4,IF('امتیاز دهی خبرگان'!$N65=4,'طیف فازی'!$D$5,'طیف فازی'!$D$6)))))</f>
        <v>1</v>
      </c>
      <c r="AM65" s="23">
        <f t="shared" si="1"/>
        <v>6.25</v>
      </c>
      <c r="AN65" s="23">
        <f t="shared" si="2"/>
        <v>9.25</v>
      </c>
      <c r="AO65" s="24">
        <f t="shared" si="3"/>
        <v>11.5</v>
      </c>
      <c r="AP65" s="25">
        <f t="shared" si="4"/>
        <v>0.52083333333333337</v>
      </c>
      <c r="AQ65" s="23">
        <f t="shared" si="5"/>
        <v>0.77083333333333337</v>
      </c>
      <c r="AR65" s="24">
        <f t="shared" si="6"/>
        <v>0.95833333333333337</v>
      </c>
      <c r="AS65" s="24">
        <f t="shared" si="7"/>
        <v>0.75</v>
      </c>
      <c r="AT65" s="24" t="str">
        <f t="shared" si="8"/>
        <v>Pass</v>
      </c>
    </row>
    <row r="66" spans="2:46" ht="23.25" customHeight="1" thickBot="1" x14ac:dyDescent="0.85">
      <c r="B66" s="2">
        <v>63</v>
      </c>
      <c r="C66" s="17">
        <f>IF('امتیاز دهی خبرگان'!$C66=0,0,IF('امتیاز دهی خبرگان'!$C66=1,'طیف فازی'!$B$2,IF('امتیاز دهی خبرگان'!$C66=2,'طیف فازی'!$B$3,IF('امتیاز دهی خبرگان'!$C66=3,'طیف فازی'!$B$4,IF('امتیاز دهی خبرگان'!$C66=4,'طیف فازی'!$B$5,'طیف فازی'!$B$6)))))</f>
        <v>0.5</v>
      </c>
      <c r="D66" s="18">
        <f>IF('امتیاز دهی خبرگان'!$C66=0,0,IF('امتیاز دهی خبرگان'!$C66=1,'طیف فازی'!$C$2,IF('امتیاز دهی خبرگان'!$C66=2,'طیف فازی'!$C$3,IF('امتیاز دهی خبرگان'!$C66=3,'طیف فازی'!$C$4,IF('امتیاز دهی خبرگان'!$C66=4,'طیف فازی'!$C$5,'طیف فازی'!$C$6)))))</f>
        <v>0.75</v>
      </c>
      <c r="E66" s="19">
        <f>IF('امتیاز دهی خبرگان'!$C66=0,0,IF('امتیاز دهی خبرگان'!$C66=1,'طیف فازی'!$D$2,IF('امتیاز دهی خبرگان'!$C66=2,'طیف فازی'!$D$3,IF('امتیاز دهی خبرگان'!$C66=3,'طیف فازی'!$D$4,IF('امتیاز دهی خبرگان'!$C66=4,'طیف فازی'!$D$5,'طیف فازی'!$D$6)))))</f>
        <v>1</v>
      </c>
      <c r="F66" s="20">
        <f>IF('امتیاز دهی خبرگان'!$D66=0,0,IF('امتیاز دهی خبرگان'!$D66=1,'طیف فازی'!$B$2,IF('امتیاز دهی خبرگان'!$D66=2,'طیف فازی'!$B$3,IF('امتیاز دهی خبرگان'!$D66=3,'طیف فازی'!$B$4,IF('امتیاز دهی خبرگان'!$D66=4,'طیف فازی'!$B$5,'طیف فازی'!$B$6)))))</f>
        <v>0.25</v>
      </c>
      <c r="G66" s="21">
        <f>IF('امتیاز دهی خبرگان'!$D66=0,0,IF('امتیاز دهی خبرگان'!$D66=1,'طیف فازی'!$D$2,IF('امتیاز دهی خبرگان'!$D66=2,'طیف فازی'!$C$3,IF('امتیاز دهی خبرگان'!$D66=3,'طیف فازی'!$C$4,IF('امتیاز دهی خبرگان'!$D66=4,'طیف فازی'!$C$5,'طیف فازی'!$C$6)))))</f>
        <v>0.5</v>
      </c>
      <c r="H66" s="22">
        <f>IF('امتیاز دهی خبرگان'!$D66=0,0,IF('امتیاز دهی خبرگان'!$D66=1,'طیف فازی'!$D$2,IF('امتیاز دهی خبرگان'!$D66=2,'طیف فازی'!$D$3,IF('امتیاز دهی خبرگان'!$D66=3,'طیف فازی'!$D$4,IF('امتیاز دهی خبرگان'!$D66=4,'طیف فازی'!$D$5,'طیف فازی'!$D$6)))))</f>
        <v>0.75</v>
      </c>
      <c r="I66" s="17">
        <f>IF('امتیاز دهی خبرگان'!$E66=0,0,IF('امتیاز دهی خبرگان'!$E66=1,'طیف فازی'!$B$2,IF('امتیاز دهی خبرگان'!$E66=2,'طیف فازی'!$B$3,IF('امتیاز دهی خبرگان'!$E66=3,'طیف فازی'!$B$4,IF('امتیاز دهی خبرگان'!$E66=4,'طیف فازی'!$B$5,'طیف فازی'!$B$6)))))</f>
        <v>0.75</v>
      </c>
      <c r="J66" s="18">
        <f>IF('امتیاز دهی خبرگان'!$E66=0,0,IF('امتیاز دهی خبرگان'!$E66=1,'طیف فازی'!$C$2,IF('امتیاز دهی خبرگان'!$E66=2,'طیف فازی'!$C$3,IF('امتیاز دهی خبرگان'!$E66=3,'طیف فازی'!$C$4,IF('امتیاز دهی خبرگان'!$E66=4,'طیف فازی'!$C$5,'طیف فازی'!$C$6)))))</f>
        <v>1</v>
      </c>
      <c r="K66" s="19">
        <f>IF('امتیاز دهی خبرگان'!$E66=0,0,IF('امتیاز دهی خبرگان'!$E66=1,'طیف فازی'!$D$2,IF('امتیاز دهی خبرگان'!$E66=2,'طیف فازی'!$D$3,IF('امتیاز دهی خبرگان'!$E66=3,'طیف فازی'!$D$4,IF('امتیاز دهی خبرگان'!$E66=4,'طیف فازی'!$D$5,'طیف فازی'!$D$6)))))</f>
        <v>1</v>
      </c>
      <c r="L66" s="17">
        <f>IF('امتیاز دهی خبرگان'!$F66=0,0,IF('امتیاز دهی خبرگان'!$F66=1,'طیف فازی'!$B$2,IF('امتیاز دهی خبرگان'!$F66=2,'طیف فازی'!$B$3,IF('امتیاز دهی خبرگان'!$F66=3,'طیف فازی'!$B$4,IF('امتیاز دهی خبرگان'!$F66=4,'طیف فازی'!$B$5,'طیف فازی'!$B$6)))))</f>
        <v>0</v>
      </c>
      <c r="M66" s="18">
        <f>IF('امتیاز دهی خبرگان'!$F66=0,0,IF('امتیاز دهی خبرگان'!$F66=1,'طیف فازی'!$C$2,IF('امتیاز دهی خبرگان'!$F66=2,'طیف فازی'!$C$3,IF('امتیاز دهی خبرگان'!$F66=3,'طیف فازی'!$C$4,IF('امتیاز دهی خبرگان'!$F66=4,'طیف فازی'!$C$5,'طیف فازی'!$C$6)))))</f>
        <v>0.25</v>
      </c>
      <c r="N66" s="19">
        <f>IF('امتیاز دهی خبرگان'!$F66=0,0,IF('امتیاز دهی خبرگان'!$F66=1,'طیف فازی'!$D$2,IF('امتیاز دهی خبرگان'!$F66=2,'طیف فازی'!$D$3,IF('امتیاز دهی خبرگان'!$F66=3,'طیف فازی'!$D$4,IF('امتیاز دهی خبرگان'!$F66=4,'طیف فازی'!$D$5,'طیف فازی'!$D$6)))))</f>
        <v>0.5</v>
      </c>
      <c r="O66" s="17">
        <f>IF('امتیاز دهی خبرگان'!$G66=0,0,IF('امتیاز دهی خبرگان'!$G66=1,'طیف فازی'!$B$2,IF('امتیاز دهی خبرگان'!$G66=2,'طیف فازی'!$B$3,IF('امتیاز دهی خبرگان'!$G66=3,'طیف فازی'!$B$4,IF('امتیاز دهی خبرگان'!$G66=4,'طیف فازی'!$B$5,'طیف فازی'!$B$6)))))</f>
        <v>0.25</v>
      </c>
      <c r="P66" s="18">
        <f>IF('امتیاز دهی خبرگان'!$G66=0,0,IF('امتیاز دهی خبرگان'!$G66=1,'طیف فازی'!$C$2,IF('امتیاز دهی خبرگان'!$G66=2,'طیف فازی'!$C$3,IF('امتیاز دهی خبرگان'!$G66=3,'طیف فازی'!$C$4,IF('امتیاز دهی خبرگان'!$G66=4,'طیف فازی'!$C$5,'طیف فازی'!$C$6)))))</f>
        <v>0.5</v>
      </c>
      <c r="Q66" s="19">
        <f>IF('امتیاز دهی خبرگان'!$G66=0,0,IF('امتیاز دهی خبرگان'!$G66=1,'طیف فازی'!$D$2,IF('امتیاز دهی خبرگان'!$G66=2,'طیف فازی'!$D$3,IF('امتیاز دهی خبرگان'!$G66=3,'طیف فازی'!$D$4,IF('امتیاز دهی خبرگان'!$G66=4,'طیف فازی'!$D$5,'طیف فازی'!$D$6)))))</f>
        <v>0.75</v>
      </c>
      <c r="R66" s="17">
        <f>IF('امتیاز دهی خبرگان'!$H66=0,0,IF('امتیاز دهی خبرگان'!$H66=1,'طیف فازی'!$B$2,IF('امتیاز دهی خبرگان'!$H66=2,'طیف فازی'!$B$3,IF('امتیاز دهی خبرگان'!$H66=3,'طیف فازی'!$B$4,IF('امتیاز دهی خبرگان'!$H66=4,'طیف فازی'!$B$5,'طیف فازی'!$B$6)))))</f>
        <v>0</v>
      </c>
      <c r="S66" s="18">
        <f>IF('امتیاز دهی خبرگان'!$H66=0,0,IF('امتیاز دهی خبرگان'!$H66=1,'طیف فازی'!$C$2,IF('امتیاز دهی خبرگان'!$H66=2,'طیف فازی'!$C$3,IF('امتیاز دهی خبرگان'!$H66=3,'طیف فازی'!$C$4,IF('امتیاز دهی خبرگان'!$H66=4,'طیف فازی'!$C$5,'طیف فازی'!$C$6)))))</f>
        <v>0.25</v>
      </c>
      <c r="T66" s="19">
        <f>IF('امتیاز دهی خبرگان'!$H66=0,0,IF('امتیاز دهی خبرگان'!$H66=1,'طیف فازی'!$D$2,IF('امتیاز دهی خبرگان'!$H66=2,'طیف فازی'!$D$3,IF('امتیاز دهی خبرگان'!$H66=3,'طیف فازی'!$D$4,IF('امتیاز دهی خبرگان'!$H66=4,'طیف فازی'!$D$5,'طیف فازی'!$D$6)))))</f>
        <v>0.5</v>
      </c>
      <c r="U66" s="17">
        <f>IF('امتیاز دهی خبرگان'!$I66=0,0,IF('امتیاز دهی خبرگان'!$I66=1,'طیف فازی'!$B$2,IF('امتیاز دهی خبرگان'!$I66=2,'طیف فازی'!$B$3,IF('امتیاز دهی خبرگان'!$I66=3,'طیف فازی'!$B$4,IF('امتیاز دهی خبرگان'!$I66=4,'طیف فازی'!$B$5,'طیف فازی'!$B$6)))))</f>
        <v>0.75</v>
      </c>
      <c r="V66" s="18">
        <f>IF('امتیاز دهی خبرگان'!$I66=0,0,IF('امتیاز دهی خبرگان'!$I66=1,'طیف فازی'!$C$2,IF('امتیاز دهی خبرگان'!$I66=2,'طیف فازی'!$C$3,IF('امتیاز دهی خبرگان'!$I66=3,'طیف فازی'!$C$4,IF('امتیاز دهی خبرگان'!$I66=4,'طیف فازی'!$C$5,'طیف فازی'!$C$6)))))</f>
        <v>1</v>
      </c>
      <c r="W66" s="19">
        <f>IF('امتیاز دهی خبرگان'!$I66=0,0,IF('امتیاز دهی خبرگان'!$I66=1,'طیف فازی'!$D$2,IF('امتیاز دهی خبرگان'!$I66=2,'طیف فازی'!$D$3,IF('امتیاز دهی خبرگان'!$I66=3,'طیف فازی'!$D$4,IF('امتیاز دهی خبرگان'!$I66=4,'طیف فازی'!$D$5,'طیف فازی'!$D$6)))))</f>
        <v>1</v>
      </c>
      <c r="X66" s="17">
        <f>IF('امتیاز دهی خبرگان'!$J66=0,0,IF('امتیاز دهی خبرگان'!$J66=1,'طیف فازی'!$B$2,IF('امتیاز دهی خبرگان'!$J66=2,'طیف فازی'!$B$3,IF('امتیاز دهی خبرگان'!$J66=3,'طیف فازی'!$B$4,IF('امتیاز دهی خبرگان'!$J66=4,'طیف فازی'!$B$5,'طیف فازی'!$B$6)))))</f>
        <v>0.5</v>
      </c>
      <c r="Y66" s="18">
        <f>IF('امتیاز دهی خبرگان'!$J66=0,0,IF('امتیاز دهی خبرگان'!$J66=1,'طیف فازی'!$C$2,IF('امتیاز دهی خبرگان'!$J66=2,'طیف فازی'!$C$3,IF('امتیاز دهی خبرگان'!$J66=3,'طیف فازی'!$C$4,IF('امتیاز دهی خبرگان'!$J66=4,'طیف فازی'!$C$5,'طیف فازی'!$C$6)))))</f>
        <v>0.75</v>
      </c>
      <c r="Z66" s="19">
        <f>IF('امتیاز دهی خبرگان'!$J66=0,0,IF('امتیاز دهی خبرگان'!$J66=1,'طیف فازی'!$D$2,IF('امتیاز دهی خبرگان'!$J66=2,'طیف فازی'!$D$3,IF('امتیاز دهی خبرگان'!$J66=3,'طیف فازی'!$D$4,IF('امتیاز دهی خبرگان'!$J66=4,'طیف فازی'!$D$5,'طیف فازی'!$D$6)))))</f>
        <v>1</v>
      </c>
      <c r="AA66" s="17">
        <f>IF('امتیاز دهی خبرگان'!$K66=0,0,IF('امتیاز دهی خبرگان'!$K66=1,'طیف فازی'!$B$2,IF('امتیاز دهی خبرگان'!$K66=2,'طیف فازی'!$B$3,IF('امتیاز دهی خبرگان'!$K66=3,'طیف فازی'!$B$4,IF('امتیاز دهی خبرگان'!$K66=4,'طیف فازی'!$B$5,'طیف فازی'!$B$6)))))</f>
        <v>0.75</v>
      </c>
      <c r="AB66" s="18">
        <f>IF('امتیاز دهی خبرگان'!$K66=0,0,IF('امتیاز دهی خبرگان'!$K66=1,'طیف فازی'!$C$2,IF('امتیاز دهی خبرگان'!$K66=2,'طیف فازی'!$C$3,IF('امتیاز دهی خبرگان'!$K66=3,'طیف فازی'!$C$4,IF('امتیاز دهی خبرگان'!$K66=4,'طیف فازی'!$C$5,'طیف فازی'!$C$6)))))</f>
        <v>1</v>
      </c>
      <c r="AC66" s="19">
        <f>IF('امتیاز دهی خبرگان'!$K66=0,0,IF('امتیاز دهی خبرگان'!$K66=1,'طیف فازی'!$D$2,IF('امتیاز دهی خبرگان'!$K66=2,'طیف فازی'!$D$3,IF('امتیاز دهی خبرگان'!$K66=3,'طیف فازی'!$D$4,IF('امتیاز دهی خبرگان'!$K66=4,'طیف فازی'!$D$5,'طیف فازی'!$D$6)))))</f>
        <v>1</v>
      </c>
      <c r="AD66" s="17">
        <f>IF('امتیاز دهی خبرگان'!$L66=0,0,IF('امتیاز دهی خبرگان'!$L66=1,'طیف فازی'!$B$2,IF('امتیاز دهی خبرگان'!$L66=2,'طیف فازی'!$B$3,IF('امتیاز دهی خبرگان'!$L66=3,'طیف فازی'!$B$4,IF('امتیاز دهی خبرگان'!$L66=4,'طیف فازی'!$B$5,'طیف فازی'!$B$6)))))</f>
        <v>0.75</v>
      </c>
      <c r="AE66" s="18">
        <f>IF('امتیاز دهی خبرگان'!$L66=0,0,IF('امتیاز دهی خبرگان'!$L66=1,'طیف فازی'!$C$2,IF('امتیاز دهی خبرگان'!$L66=2,'طیف فازی'!$C$3,IF('امتیاز دهی خبرگان'!$L66=3,'طیف فازی'!$C$4,IF('امتیاز دهی خبرگان'!$L66=4,'طیف فازی'!$C$5,'طیف فازی'!$C$6)))))</f>
        <v>1</v>
      </c>
      <c r="AF66" s="19">
        <f>IF('امتیاز دهی خبرگان'!$L66=0,0,IF('امتیاز دهی خبرگان'!$L66=1,'طیف فازی'!$D$2,IF('امتیاز دهی خبرگان'!$L66=2,'طیف فازی'!$D$3,IF('امتیاز دهی خبرگان'!$L66=3,'طیف فازی'!$D$4,IF('امتیاز دهی خبرگان'!$L66=4,'طیف فازی'!$D$5,'طیف فازی'!$D$6)))))</f>
        <v>1</v>
      </c>
      <c r="AG66" s="17">
        <f>IF('امتیاز دهی خبرگان'!$M66=0,0,IF('امتیاز دهی خبرگان'!$M66=1,'طیف فازی'!$B$2,IF('امتیاز دهی خبرگان'!$M66=2,'طیف فازی'!$B$3,IF('امتیاز دهی خبرگان'!$M66=3,'طیف فازی'!$B$4,IF('امتیاز دهی خبرگان'!$M66=4,'طیف فازی'!$B$5,'طیف فازی'!$B$6)))))</f>
        <v>0.75</v>
      </c>
      <c r="AH66" s="18">
        <f>IF('امتیاز دهی خبرگان'!$M66=0,0,IF('امتیاز دهی خبرگان'!$M66=1,'طیف فازی'!$C$2,IF('امتیاز دهی خبرگان'!$M66=2,'طیف فازی'!$C$3,IF('امتیاز دهی خبرگان'!$M66=3,'طیف فازی'!$C$4,IF('امتیاز دهی خبرگان'!$M66=4,'طیف فازی'!$C$5,'طیف فازی'!$C$6)))))</f>
        <v>1</v>
      </c>
      <c r="AI66" s="19">
        <f>IF('امتیاز دهی خبرگان'!$M66=0,0,IF('امتیاز دهی خبرگان'!$M66=1,'طیف فازی'!$D$2,IF('امتیاز دهی خبرگان'!$M66=2,'طیف فازی'!$D$3,IF('امتیاز دهی خبرگان'!$M66=3,'طیف فازی'!$D$4,IF('امتیاز دهی خبرگان'!$M66=4,'طیف فازی'!$D$5,'طیف فازی'!$D$6)))))</f>
        <v>1</v>
      </c>
      <c r="AJ66" s="17">
        <f>IF('امتیاز دهی خبرگان'!$N66=0,0,IF('امتیاز دهی خبرگان'!$N66=1,'طیف فازی'!$B$2,IF('امتیاز دهی خبرگان'!$N66=2,'طیف فازی'!$B$3,IF('امتیاز دهی خبرگان'!$N66=3,'طیف فازی'!$B$4,IF('امتیاز دهی خبرگان'!$N66=4,'طیف فازی'!$B$5,'طیف فازی'!$B$6)))))</f>
        <v>0.75</v>
      </c>
      <c r="AK66" s="18">
        <f>IF('امتیاز دهی خبرگان'!$N66=0,0,IF('امتیاز دهی خبرگان'!$N66=1,'طیف فازی'!$C$2,IF('امتیاز دهی خبرگان'!$N66=2,'طیف فازی'!$C$3,IF('امتیاز دهی خبرگان'!$N66=3,'طیف فازی'!$C$4,IF('امتیاز دهی خبرگان'!$N66=4,'طیف فازی'!$C$5,'طیف فازی'!$C$6)))))</f>
        <v>1</v>
      </c>
      <c r="AL66" s="19">
        <f>IF('امتیاز دهی خبرگان'!$N66=0,0,IF('امتیاز دهی خبرگان'!$N66=1,'طیف فازی'!$D$2,IF('امتیاز دهی خبرگان'!$N66=2,'طیف فازی'!$D$3,IF('امتیاز دهی خبرگان'!$N66=3,'طیف فازی'!$D$4,IF('امتیاز دهی خبرگان'!$N66=4,'طیف فازی'!$D$5,'طیف فازی'!$D$6)))))</f>
        <v>1</v>
      </c>
      <c r="AM66" s="23">
        <f t="shared" si="1"/>
        <v>6</v>
      </c>
      <c r="AN66" s="23">
        <f t="shared" si="2"/>
        <v>9</v>
      </c>
      <c r="AO66" s="24">
        <f t="shared" si="3"/>
        <v>10.5</v>
      </c>
      <c r="AP66" s="25">
        <f t="shared" si="4"/>
        <v>0.5</v>
      </c>
      <c r="AQ66" s="23">
        <f t="shared" si="5"/>
        <v>0.75</v>
      </c>
      <c r="AR66" s="24">
        <f t="shared" si="6"/>
        <v>0.875</v>
      </c>
      <c r="AS66" s="24">
        <f t="shared" si="7"/>
        <v>0.70833333333333337</v>
      </c>
      <c r="AT66" s="24" t="str">
        <f t="shared" si="8"/>
        <v>Pass</v>
      </c>
    </row>
    <row r="67" spans="2:46" ht="23.25" customHeight="1" thickBot="1" x14ac:dyDescent="0.85">
      <c r="B67" s="2">
        <v>64</v>
      </c>
      <c r="C67" s="17">
        <f>IF('امتیاز دهی خبرگان'!$C67=0,0,IF('امتیاز دهی خبرگان'!$C67=1,'طیف فازی'!$B$2,IF('امتیاز دهی خبرگان'!$C67=2,'طیف فازی'!$B$3,IF('امتیاز دهی خبرگان'!$C67=3,'طیف فازی'!$B$4,IF('امتیاز دهی خبرگان'!$C67=4,'طیف فازی'!$B$5,'طیف فازی'!$B$6)))))</f>
        <v>0.75</v>
      </c>
      <c r="D67" s="18">
        <f>IF('امتیاز دهی خبرگان'!$C67=0,0,IF('امتیاز دهی خبرگان'!$C67=1,'طیف فازی'!$C$2,IF('امتیاز دهی خبرگان'!$C67=2,'طیف فازی'!$C$3,IF('امتیاز دهی خبرگان'!$C67=3,'طیف فازی'!$C$4,IF('امتیاز دهی خبرگان'!$C67=4,'طیف فازی'!$C$5,'طیف فازی'!$C$6)))))</f>
        <v>1</v>
      </c>
      <c r="E67" s="19">
        <f>IF('امتیاز دهی خبرگان'!$C67=0,0,IF('امتیاز دهی خبرگان'!$C67=1,'طیف فازی'!$D$2,IF('امتیاز دهی خبرگان'!$C67=2,'طیف فازی'!$D$3,IF('امتیاز دهی خبرگان'!$C67=3,'طیف فازی'!$D$4,IF('امتیاز دهی خبرگان'!$C67=4,'طیف فازی'!$D$5,'طیف فازی'!$D$6)))))</f>
        <v>1</v>
      </c>
      <c r="F67" s="20">
        <f>IF('امتیاز دهی خبرگان'!$D67=0,0,IF('امتیاز دهی خبرگان'!$D67=1,'طیف فازی'!$B$2,IF('امتیاز دهی خبرگان'!$D67=2,'طیف فازی'!$B$3,IF('امتیاز دهی خبرگان'!$D67=3,'طیف فازی'!$B$4,IF('امتیاز دهی خبرگان'!$D67=4,'طیف فازی'!$B$5,'طیف فازی'!$B$6)))))</f>
        <v>0</v>
      </c>
      <c r="G67" s="21">
        <f>IF('امتیاز دهی خبرگان'!$D67=0,0,IF('امتیاز دهی خبرگان'!$D67=1,'طیف فازی'!$D$2,IF('امتیاز دهی خبرگان'!$D67=2,'طیف فازی'!$C$3,IF('امتیاز دهی خبرگان'!$D67=3,'طیف فازی'!$C$4,IF('امتیاز دهی خبرگان'!$D67=4,'طیف فازی'!$C$5,'طیف فازی'!$C$6)))))</f>
        <v>0.25</v>
      </c>
      <c r="H67" s="22">
        <f>IF('امتیاز دهی خبرگان'!$D67=0,0,IF('امتیاز دهی خبرگان'!$D67=1,'طیف فازی'!$D$2,IF('امتیاز دهی خبرگان'!$D67=2,'طیف فازی'!$D$3,IF('امتیاز دهی خبرگان'!$D67=3,'طیف فازی'!$D$4,IF('امتیاز دهی خبرگان'!$D67=4,'طیف فازی'!$D$5,'طیف فازی'!$D$6)))))</f>
        <v>0.5</v>
      </c>
      <c r="I67" s="17">
        <f>IF('امتیاز دهی خبرگان'!$E67=0,0,IF('امتیاز دهی خبرگان'!$E67=1,'طیف فازی'!$B$2,IF('امتیاز دهی خبرگان'!$E67=2,'طیف فازی'!$B$3,IF('امتیاز دهی خبرگان'!$E67=3,'طیف فازی'!$B$4,IF('امتیاز دهی خبرگان'!$E67=4,'طیف فازی'!$B$5,'طیف فازی'!$B$6)))))</f>
        <v>0.75</v>
      </c>
      <c r="J67" s="18">
        <f>IF('امتیاز دهی خبرگان'!$E67=0,0,IF('امتیاز دهی خبرگان'!$E67=1,'طیف فازی'!$C$2,IF('امتیاز دهی خبرگان'!$E67=2,'طیف فازی'!$C$3,IF('امتیاز دهی خبرگان'!$E67=3,'طیف فازی'!$C$4,IF('امتیاز دهی خبرگان'!$E67=4,'طیف فازی'!$C$5,'طیف فازی'!$C$6)))))</f>
        <v>1</v>
      </c>
      <c r="K67" s="19">
        <f>IF('امتیاز دهی خبرگان'!$E67=0,0,IF('امتیاز دهی خبرگان'!$E67=1,'طیف فازی'!$D$2,IF('امتیاز دهی خبرگان'!$E67=2,'طیف فازی'!$D$3,IF('امتیاز دهی خبرگان'!$E67=3,'طیف فازی'!$D$4,IF('امتیاز دهی خبرگان'!$E67=4,'طیف فازی'!$D$5,'طیف فازی'!$D$6)))))</f>
        <v>1</v>
      </c>
      <c r="L67" s="17">
        <f>IF('امتیاز دهی خبرگان'!$F67=0,0,IF('امتیاز دهی خبرگان'!$F67=1,'طیف فازی'!$B$2,IF('امتیاز دهی خبرگان'!$F67=2,'طیف فازی'!$B$3,IF('امتیاز دهی خبرگان'!$F67=3,'طیف فازی'!$B$4,IF('امتیاز دهی خبرگان'!$F67=4,'طیف فازی'!$B$5,'طیف فازی'!$B$6)))))</f>
        <v>0.75</v>
      </c>
      <c r="M67" s="18">
        <f>IF('امتیاز دهی خبرگان'!$F67=0,0,IF('امتیاز دهی خبرگان'!$F67=1,'طیف فازی'!$C$2,IF('امتیاز دهی خبرگان'!$F67=2,'طیف فازی'!$C$3,IF('امتیاز دهی خبرگان'!$F67=3,'طیف فازی'!$C$4,IF('امتیاز دهی خبرگان'!$F67=4,'طیف فازی'!$C$5,'طیف فازی'!$C$6)))))</f>
        <v>1</v>
      </c>
      <c r="N67" s="19">
        <f>IF('امتیاز دهی خبرگان'!$F67=0,0,IF('امتیاز دهی خبرگان'!$F67=1,'طیف فازی'!$D$2,IF('امتیاز دهی خبرگان'!$F67=2,'طیف فازی'!$D$3,IF('امتیاز دهی خبرگان'!$F67=3,'طیف فازی'!$D$4,IF('امتیاز دهی خبرگان'!$F67=4,'طیف فازی'!$D$5,'طیف فازی'!$D$6)))))</f>
        <v>1</v>
      </c>
      <c r="O67" s="17">
        <f>IF('امتیاز دهی خبرگان'!$G67=0,0,IF('امتیاز دهی خبرگان'!$G67=1,'طیف فازی'!$B$2,IF('امتیاز دهی خبرگان'!$G67=2,'طیف فازی'!$B$3,IF('امتیاز دهی خبرگان'!$G67=3,'طیف فازی'!$B$4,IF('امتیاز دهی خبرگان'!$G67=4,'طیف فازی'!$B$5,'طیف فازی'!$B$6)))))</f>
        <v>0.25</v>
      </c>
      <c r="P67" s="18">
        <f>IF('امتیاز دهی خبرگان'!$G67=0,0,IF('امتیاز دهی خبرگان'!$G67=1,'طیف فازی'!$C$2,IF('امتیاز دهی خبرگان'!$G67=2,'طیف فازی'!$C$3,IF('امتیاز دهی خبرگان'!$G67=3,'طیف فازی'!$C$4,IF('امتیاز دهی خبرگان'!$G67=4,'طیف فازی'!$C$5,'طیف فازی'!$C$6)))))</f>
        <v>0.5</v>
      </c>
      <c r="Q67" s="19">
        <f>IF('امتیاز دهی خبرگان'!$G67=0,0,IF('امتیاز دهی خبرگان'!$G67=1,'طیف فازی'!$D$2,IF('امتیاز دهی خبرگان'!$G67=2,'طیف فازی'!$D$3,IF('امتیاز دهی خبرگان'!$G67=3,'طیف فازی'!$D$4,IF('امتیاز دهی خبرگان'!$G67=4,'طیف فازی'!$D$5,'طیف فازی'!$D$6)))))</f>
        <v>0.75</v>
      </c>
      <c r="R67" s="17">
        <f>IF('امتیاز دهی خبرگان'!$H67=0,0,IF('امتیاز دهی خبرگان'!$H67=1,'طیف فازی'!$B$2,IF('امتیاز دهی خبرگان'!$H67=2,'طیف فازی'!$B$3,IF('امتیاز دهی خبرگان'!$H67=3,'طیف فازی'!$B$4,IF('امتیاز دهی خبرگان'!$H67=4,'طیف فازی'!$B$5,'طیف فازی'!$B$6)))))</f>
        <v>0.5</v>
      </c>
      <c r="S67" s="18">
        <f>IF('امتیاز دهی خبرگان'!$H67=0,0,IF('امتیاز دهی خبرگان'!$H67=1,'طیف فازی'!$C$2,IF('امتیاز دهی خبرگان'!$H67=2,'طیف فازی'!$C$3,IF('امتیاز دهی خبرگان'!$H67=3,'طیف فازی'!$C$4,IF('امتیاز دهی خبرگان'!$H67=4,'طیف فازی'!$C$5,'طیف فازی'!$C$6)))))</f>
        <v>0.75</v>
      </c>
      <c r="T67" s="19">
        <f>IF('امتیاز دهی خبرگان'!$H67=0,0,IF('امتیاز دهی خبرگان'!$H67=1,'طیف فازی'!$D$2,IF('امتیاز دهی خبرگان'!$H67=2,'طیف فازی'!$D$3,IF('امتیاز دهی خبرگان'!$H67=3,'طیف فازی'!$D$4,IF('امتیاز دهی خبرگان'!$H67=4,'طیف فازی'!$D$5,'طیف فازی'!$D$6)))))</f>
        <v>1</v>
      </c>
      <c r="U67" s="17">
        <f>IF('امتیاز دهی خبرگان'!$I67=0,0,IF('امتیاز دهی خبرگان'!$I67=1,'طیف فازی'!$B$2,IF('امتیاز دهی خبرگان'!$I67=2,'طیف فازی'!$B$3,IF('امتیاز دهی خبرگان'!$I67=3,'طیف فازی'!$B$4,IF('امتیاز دهی خبرگان'!$I67=4,'طیف فازی'!$B$5,'طیف فازی'!$B$6)))))</f>
        <v>0.5</v>
      </c>
      <c r="V67" s="18">
        <f>IF('امتیاز دهی خبرگان'!$I67=0,0,IF('امتیاز دهی خبرگان'!$I67=1,'طیف فازی'!$C$2,IF('امتیاز دهی خبرگان'!$I67=2,'طیف فازی'!$C$3,IF('امتیاز دهی خبرگان'!$I67=3,'طیف فازی'!$C$4,IF('امتیاز دهی خبرگان'!$I67=4,'طیف فازی'!$C$5,'طیف فازی'!$C$6)))))</f>
        <v>0.75</v>
      </c>
      <c r="W67" s="19">
        <f>IF('امتیاز دهی خبرگان'!$I67=0,0,IF('امتیاز دهی خبرگان'!$I67=1,'طیف فازی'!$D$2,IF('امتیاز دهی خبرگان'!$I67=2,'طیف فازی'!$D$3,IF('امتیاز دهی خبرگان'!$I67=3,'طیف فازی'!$D$4,IF('امتیاز دهی خبرگان'!$I67=4,'طیف فازی'!$D$5,'طیف فازی'!$D$6)))))</f>
        <v>1</v>
      </c>
      <c r="X67" s="17">
        <f>IF('امتیاز دهی خبرگان'!$J67=0,0,IF('امتیاز دهی خبرگان'!$J67=1,'طیف فازی'!$B$2,IF('امتیاز دهی خبرگان'!$J67=2,'طیف فازی'!$B$3,IF('امتیاز دهی خبرگان'!$J67=3,'طیف فازی'!$B$4,IF('امتیاز دهی خبرگان'!$J67=4,'طیف فازی'!$B$5,'طیف فازی'!$B$6)))))</f>
        <v>0.5</v>
      </c>
      <c r="Y67" s="18">
        <f>IF('امتیاز دهی خبرگان'!$J67=0,0,IF('امتیاز دهی خبرگان'!$J67=1,'طیف فازی'!$C$2,IF('امتیاز دهی خبرگان'!$J67=2,'طیف فازی'!$C$3,IF('امتیاز دهی خبرگان'!$J67=3,'طیف فازی'!$C$4,IF('امتیاز دهی خبرگان'!$J67=4,'طیف فازی'!$C$5,'طیف فازی'!$C$6)))))</f>
        <v>0.75</v>
      </c>
      <c r="Z67" s="19">
        <f>IF('امتیاز دهی خبرگان'!$J67=0,0,IF('امتیاز دهی خبرگان'!$J67=1,'طیف فازی'!$D$2,IF('امتیاز دهی خبرگان'!$J67=2,'طیف فازی'!$D$3,IF('امتیاز دهی خبرگان'!$J67=3,'طیف فازی'!$D$4,IF('امتیاز دهی خبرگان'!$J67=4,'طیف فازی'!$D$5,'طیف فازی'!$D$6)))))</f>
        <v>1</v>
      </c>
      <c r="AA67" s="17">
        <f>IF('امتیاز دهی خبرگان'!$K67=0,0,IF('امتیاز دهی خبرگان'!$K67=1,'طیف فازی'!$B$2,IF('امتیاز دهی خبرگان'!$K67=2,'طیف فازی'!$B$3,IF('امتیاز دهی خبرگان'!$K67=3,'طیف فازی'!$B$4,IF('امتیاز دهی خبرگان'!$K67=4,'طیف فازی'!$B$5,'طیف فازی'!$B$6)))))</f>
        <v>0.75</v>
      </c>
      <c r="AB67" s="18">
        <f>IF('امتیاز دهی خبرگان'!$K67=0,0,IF('امتیاز دهی خبرگان'!$K67=1,'طیف فازی'!$C$2,IF('امتیاز دهی خبرگان'!$K67=2,'طیف فازی'!$C$3,IF('امتیاز دهی خبرگان'!$K67=3,'طیف فازی'!$C$4,IF('امتیاز دهی خبرگان'!$K67=4,'طیف فازی'!$C$5,'طیف فازی'!$C$6)))))</f>
        <v>1</v>
      </c>
      <c r="AC67" s="19">
        <f>IF('امتیاز دهی خبرگان'!$K67=0,0,IF('امتیاز دهی خبرگان'!$K67=1,'طیف فازی'!$D$2,IF('امتیاز دهی خبرگان'!$K67=2,'طیف فازی'!$D$3,IF('امتیاز دهی خبرگان'!$K67=3,'طیف فازی'!$D$4,IF('امتیاز دهی خبرگان'!$K67=4,'طیف فازی'!$D$5,'طیف فازی'!$D$6)))))</f>
        <v>1</v>
      </c>
      <c r="AD67" s="17">
        <f>IF('امتیاز دهی خبرگان'!$L67=0,0,IF('امتیاز دهی خبرگان'!$L67=1,'طیف فازی'!$B$2,IF('امتیاز دهی خبرگان'!$L67=2,'طیف فازی'!$B$3,IF('امتیاز دهی خبرگان'!$L67=3,'طیف فازی'!$B$4,IF('امتیاز دهی خبرگان'!$L67=4,'طیف فازی'!$B$5,'طیف فازی'!$B$6)))))</f>
        <v>0.75</v>
      </c>
      <c r="AE67" s="18">
        <f>IF('امتیاز دهی خبرگان'!$L67=0,0,IF('امتیاز دهی خبرگان'!$L67=1,'طیف فازی'!$C$2,IF('امتیاز دهی خبرگان'!$L67=2,'طیف فازی'!$C$3,IF('امتیاز دهی خبرگان'!$L67=3,'طیف فازی'!$C$4,IF('امتیاز دهی خبرگان'!$L67=4,'طیف فازی'!$C$5,'طیف فازی'!$C$6)))))</f>
        <v>1</v>
      </c>
      <c r="AF67" s="19">
        <f>IF('امتیاز دهی خبرگان'!$L67=0,0,IF('امتیاز دهی خبرگان'!$L67=1,'طیف فازی'!$D$2,IF('امتیاز دهی خبرگان'!$L67=2,'طیف فازی'!$D$3,IF('امتیاز دهی خبرگان'!$L67=3,'طیف فازی'!$D$4,IF('امتیاز دهی خبرگان'!$L67=4,'طیف فازی'!$D$5,'طیف فازی'!$D$6)))))</f>
        <v>1</v>
      </c>
      <c r="AG67" s="17">
        <f>IF('امتیاز دهی خبرگان'!$M67=0,0,IF('امتیاز دهی خبرگان'!$M67=1,'طیف فازی'!$B$2,IF('امتیاز دهی خبرگان'!$M67=2,'طیف فازی'!$B$3,IF('امتیاز دهی خبرگان'!$M67=3,'طیف فازی'!$B$4,IF('امتیاز دهی خبرگان'!$M67=4,'طیف فازی'!$B$5,'طیف فازی'!$B$6)))))</f>
        <v>0.5</v>
      </c>
      <c r="AH67" s="18">
        <f>IF('امتیاز دهی خبرگان'!$M67=0,0,IF('امتیاز دهی خبرگان'!$M67=1,'طیف فازی'!$C$2,IF('امتیاز دهی خبرگان'!$M67=2,'طیف فازی'!$C$3,IF('امتیاز دهی خبرگان'!$M67=3,'طیف فازی'!$C$4,IF('امتیاز دهی خبرگان'!$M67=4,'طیف فازی'!$C$5,'طیف فازی'!$C$6)))))</f>
        <v>0.75</v>
      </c>
      <c r="AI67" s="19">
        <f>IF('امتیاز دهی خبرگان'!$M67=0,0,IF('امتیاز دهی خبرگان'!$M67=1,'طیف فازی'!$D$2,IF('امتیاز دهی خبرگان'!$M67=2,'طیف فازی'!$D$3,IF('امتیاز دهی خبرگان'!$M67=3,'طیف فازی'!$D$4,IF('امتیاز دهی خبرگان'!$M67=4,'طیف فازی'!$D$5,'طیف فازی'!$D$6)))))</f>
        <v>1</v>
      </c>
      <c r="AJ67" s="17">
        <f>IF('امتیاز دهی خبرگان'!$N67=0,0,IF('امتیاز دهی خبرگان'!$N67=1,'طیف فازی'!$B$2,IF('امتیاز دهی خبرگان'!$N67=2,'طیف فازی'!$B$3,IF('امتیاز دهی خبرگان'!$N67=3,'طیف فازی'!$B$4,IF('امتیاز دهی خبرگان'!$N67=4,'طیف فازی'!$B$5,'طیف فازی'!$B$6)))))</f>
        <v>0.5</v>
      </c>
      <c r="AK67" s="18">
        <f>IF('امتیاز دهی خبرگان'!$N67=0,0,IF('امتیاز دهی خبرگان'!$N67=1,'طیف فازی'!$C$2,IF('امتیاز دهی خبرگان'!$N67=2,'طیف فازی'!$C$3,IF('امتیاز دهی خبرگان'!$N67=3,'طیف فازی'!$C$4,IF('امتیاز دهی خبرگان'!$N67=4,'طیف فازی'!$C$5,'طیف فازی'!$C$6)))))</f>
        <v>0.75</v>
      </c>
      <c r="AL67" s="19">
        <f>IF('امتیاز دهی خبرگان'!$N67=0,0,IF('امتیاز دهی خبرگان'!$N67=1,'طیف فازی'!$D$2,IF('امتیاز دهی خبرگان'!$N67=2,'طیف فازی'!$D$3,IF('امتیاز دهی خبرگان'!$N67=3,'طیف فازی'!$D$4,IF('امتیاز دهی خبرگان'!$N67=4,'طیف فازی'!$D$5,'طیف فازی'!$D$6)))))</f>
        <v>1</v>
      </c>
      <c r="AM67" s="23">
        <f t="shared" si="1"/>
        <v>6.5</v>
      </c>
      <c r="AN67" s="23">
        <f t="shared" si="2"/>
        <v>9.5</v>
      </c>
      <c r="AO67" s="24">
        <f t="shared" si="3"/>
        <v>11.25</v>
      </c>
      <c r="AP67" s="25">
        <f t="shared" si="4"/>
        <v>0.54166666666666663</v>
      </c>
      <c r="AQ67" s="23">
        <f t="shared" si="5"/>
        <v>0.79166666666666663</v>
      </c>
      <c r="AR67" s="24">
        <f t="shared" si="6"/>
        <v>0.9375</v>
      </c>
      <c r="AS67" s="24">
        <f t="shared" si="7"/>
        <v>0.75694444444444431</v>
      </c>
      <c r="AT67" s="24" t="str">
        <f t="shared" si="8"/>
        <v>Pass</v>
      </c>
    </row>
    <row r="68" spans="2:46" ht="23.25" customHeight="1" thickBot="1" x14ac:dyDescent="0.85">
      <c r="B68" s="2">
        <v>65</v>
      </c>
      <c r="C68" s="17">
        <f>IF('امتیاز دهی خبرگان'!$C68=0,0,IF('امتیاز دهی خبرگان'!$C68=1,'طیف فازی'!$B$2,IF('امتیاز دهی خبرگان'!$C68=2,'طیف فازی'!$B$3,IF('امتیاز دهی خبرگان'!$C68=3,'طیف فازی'!$B$4,IF('امتیاز دهی خبرگان'!$C68=4,'طیف فازی'!$B$5,'طیف فازی'!$B$6)))))</f>
        <v>0.75</v>
      </c>
      <c r="D68" s="18">
        <f>IF('امتیاز دهی خبرگان'!$C68=0,0,IF('امتیاز دهی خبرگان'!$C68=1,'طیف فازی'!$C$2,IF('امتیاز دهی خبرگان'!$C68=2,'طیف فازی'!$C$3,IF('امتیاز دهی خبرگان'!$C68=3,'طیف فازی'!$C$4,IF('امتیاز دهی خبرگان'!$C68=4,'طیف فازی'!$C$5,'طیف فازی'!$C$6)))))</f>
        <v>1</v>
      </c>
      <c r="E68" s="19">
        <f>IF('امتیاز دهی خبرگان'!$C68=0,0,IF('امتیاز دهی خبرگان'!$C68=1,'طیف فازی'!$D$2,IF('امتیاز دهی خبرگان'!$C68=2,'طیف فازی'!$D$3,IF('امتیاز دهی خبرگان'!$C68=3,'طیف فازی'!$D$4,IF('امتیاز دهی خبرگان'!$C68=4,'طیف فازی'!$D$5,'طیف فازی'!$D$6)))))</f>
        <v>1</v>
      </c>
      <c r="F68" s="20">
        <f>IF('امتیاز دهی خبرگان'!$D68=0,0,IF('امتیاز دهی خبرگان'!$D68=1,'طیف فازی'!$B$2,IF('امتیاز دهی خبرگان'!$D68=2,'طیف فازی'!$B$3,IF('امتیاز دهی خبرگان'!$D68=3,'طیف فازی'!$B$4,IF('امتیاز دهی خبرگان'!$D68=4,'طیف فازی'!$B$5,'طیف فازی'!$B$6)))))</f>
        <v>0.5</v>
      </c>
      <c r="G68" s="21">
        <f>IF('امتیاز دهی خبرگان'!$D68=0,0,IF('امتیاز دهی خبرگان'!$D68=1,'طیف فازی'!$D$2,IF('امتیاز دهی خبرگان'!$D68=2,'طیف فازی'!$C$3,IF('امتیاز دهی خبرگان'!$D68=3,'طیف فازی'!$C$4,IF('امتیاز دهی خبرگان'!$D68=4,'طیف فازی'!$C$5,'طیف فازی'!$C$6)))))</f>
        <v>0.75</v>
      </c>
      <c r="H68" s="22">
        <f>IF('امتیاز دهی خبرگان'!$D68=0,0,IF('امتیاز دهی خبرگان'!$D68=1,'طیف فازی'!$D$2,IF('امتیاز دهی خبرگان'!$D68=2,'طیف فازی'!$D$3,IF('امتیاز دهی خبرگان'!$D68=3,'طیف فازی'!$D$4,IF('امتیاز دهی خبرگان'!$D68=4,'طیف فازی'!$D$5,'طیف فازی'!$D$6)))))</f>
        <v>1</v>
      </c>
      <c r="I68" s="17">
        <f>IF('امتیاز دهی خبرگان'!$E68=0,0,IF('امتیاز دهی خبرگان'!$E68=1,'طیف فازی'!$B$2,IF('امتیاز دهی خبرگان'!$E68=2,'طیف فازی'!$B$3,IF('امتیاز دهی خبرگان'!$E68=3,'طیف فازی'!$B$4,IF('امتیاز دهی خبرگان'!$E68=4,'طیف فازی'!$B$5,'طیف فازی'!$B$6)))))</f>
        <v>0.75</v>
      </c>
      <c r="J68" s="18">
        <f>IF('امتیاز دهی خبرگان'!$E68=0,0,IF('امتیاز دهی خبرگان'!$E68=1,'طیف فازی'!$C$2,IF('امتیاز دهی خبرگان'!$E68=2,'طیف فازی'!$C$3,IF('امتیاز دهی خبرگان'!$E68=3,'طیف فازی'!$C$4,IF('امتیاز دهی خبرگان'!$E68=4,'طیف فازی'!$C$5,'طیف فازی'!$C$6)))))</f>
        <v>1</v>
      </c>
      <c r="K68" s="19">
        <f>IF('امتیاز دهی خبرگان'!$E68=0,0,IF('امتیاز دهی خبرگان'!$E68=1,'طیف فازی'!$D$2,IF('امتیاز دهی خبرگان'!$E68=2,'طیف فازی'!$D$3,IF('امتیاز دهی خبرگان'!$E68=3,'طیف فازی'!$D$4,IF('امتیاز دهی خبرگان'!$E68=4,'طیف فازی'!$D$5,'طیف فازی'!$D$6)))))</f>
        <v>1</v>
      </c>
      <c r="L68" s="17">
        <f>IF('امتیاز دهی خبرگان'!$F68=0,0,IF('امتیاز دهی خبرگان'!$F68=1,'طیف فازی'!$B$2,IF('امتیاز دهی خبرگان'!$F68=2,'طیف فازی'!$B$3,IF('امتیاز دهی خبرگان'!$F68=3,'طیف فازی'!$B$4,IF('امتیاز دهی خبرگان'!$F68=4,'طیف فازی'!$B$5,'طیف فازی'!$B$6)))))</f>
        <v>0.75</v>
      </c>
      <c r="M68" s="18">
        <f>IF('امتیاز دهی خبرگان'!$F68=0,0,IF('امتیاز دهی خبرگان'!$F68=1,'طیف فازی'!$C$2,IF('امتیاز دهی خبرگان'!$F68=2,'طیف فازی'!$C$3,IF('امتیاز دهی خبرگان'!$F68=3,'طیف فازی'!$C$4,IF('امتیاز دهی خبرگان'!$F68=4,'طیف فازی'!$C$5,'طیف فازی'!$C$6)))))</f>
        <v>1</v>
      </c>
      <c r="N68" s="19">
        <f>IF('امتیاز دهی خبرگان'!$F68=0,0,IF('امتیاز دهی خبرگان'!$F68=1,'طیف فازی'!$D$2,IF('امتیاز دهی خبرگان'!$F68=2,'طیف فازی'!$D$3,IF('امتیاز دهی خبرگان'!$F68=3,'طیف فازی'!$D$4,IF('امتیاز دهی خبرگان'!$F68=4,'طیف فازی'!$D$5,'طیف فازی'!$D$6)))))</f>
        <v>1</v>
      </c>
      <c r="O68" s="17">
        <f>IF('امتیاز دهی خبرگان'!$G68=0,0,IF('امتیاز دهی خبرگان'!$G68=1,'طیف فازی'!$B$2,IF('امتیاز دهی خبرگان'!$G68=2,'طیف فازی'!$B$3,IF('امتیاز دهی خبرگان'!$G68=3,'طیف فازی'!$B$4,IF('امتیاز دهی خبرگان'!$G68=4,'طیف فازی'!$B$5,'طیف فازی'!$B$6)))))</f>
        <v>0.5</v>
      </c>
      <c r="P68" s="18">
        <f>IF('امتیاز دهی خبرگان'!$G68=0,0,IF('امتیاز دهی خبرگان'!$G68=1,'طیف فازی'!$C$2,IF('امتیاز دهی خبرگان'!$G68=2,'طیف فازی'!$C$3,IF('امتیاز دهی خبرگان'!$G68=3,'طیف فازی'!$C$4,IF('امتیاز دهی خبرگان'!$G68=4,'طیف فازی'!$C$5,'طیف فازی'!$C$6)))))</f>
        <v>0.75</v>
      </c>
      <c r="Q68" s="19">
        <f>IF('امتیاز دهی خبرگان'!$G68=0,0,IF('امتیاز دهی خبرگان'!$G68=1,'طیف فازی'!$D$2,IF('امتیاز دهی خبرگان'!$G68=2,'طیف فازی'!$D$3,IF('امتیاز دهی خبرگان'!$G68=3,'طیف فازی'!$D$4,IF('امتیاز دهی خبرگان'!$G68=4,'طیف فازی'!$D$5,'طیف فازی'!$D$6)))))</f>
        <v>1</v>
      </c>
      <c r="R68" s="17">
        <f>IF('امتیاز دهی خبرگان'!$H68=0,0,IF('امتیاز دهی خبرگان'!$H68=1,'طیف فازی'!$B$2,IF('امتیاز دهی خبرگان'!$H68=2,'طیف فازی'!$B$3,IF('امتیاز دهی خبرگان'!$H68=3,'طیف فازی'!$B$4,IF('امتیاز دهی خبرگان'!$H68=4,'طیف فازی'!$B$5,'طیف فازی'!$B$6)))))</f>
        <v>0.25</v>
      </c>
      <c r="S68" s="18">
        <f>IF('امتیاز دهی خبرگان'!$H68=0,0,IF('امتیاز دهی خبرگان'!$H68=1,'طیف فازی'!$C$2,IF('امتیاز دهی خبرگان'!$H68=2,'طیف فازی'!$C$3,IF('امتیاز دهی خبرگان'!$H68=3,'طیف فازی'!$C$4,IF('امتیاز دهی خبرگان'!$H68=4,'طیف فازی'!$C$5,'طیف فازی'!$C$6)))))</f>
        <v>0.5</v>
      </c>
      <c r="T68" s="19">
        <f>IF('امتیاز دهی خبرگان'!$H68=0,0,IF('امتیاز دهی خبرگان'!$H68=1,'طیف فازی'!$D$2,IF('امتیاز دهی خبرگان'!$H68=2,'طیف فازی'!$D$3,IF('امتیاز دهی خبرگان'!$H68=3,'طیف فازی'!$D$4,IF('امتیاز دهی خبرگان'!$H68=4,'طیف فازی'!$D$5,'طیف فازی'!$D$6)))))</f>
        <v>0.75</v>
      </c>
      <c r="U68" s="17">
        <f>IF('امتیاز دهی خبرگان'!$I68=0,0,IF('امتیاز دهی خبرگان'!$I68=1,'طیف فازی'!$B$2,IF('امتیاز دهی خبرگان'!$I68=2,'طیف فازی'!$B$3,IF('امتیاز دهی خبرگان'!$I68=3,'طیف فازی'!$B$4,IF('امتیاز دهی خبرگان'!$I68=4,'طیف فازی'!$B$5,'طیف فازی'!$B$6)))))</f>
        <v>0.75</v>
      </c>
      <c r="V68" s="18">
        <f>IF('امتیاز دهی خبرگان'!$I68=0,0,IF('امتیاز دهی خبرگان'!$I68=1,'طیف فازی'!$C$2,IF('امتیاز دهی خبرگان'!$I68=2,'طیف فازی'!$C$3,IF('امتیاز دهی خبرگان'!$I68=3,'طیف فازی'!$C$4,IF('امتیاز دهی خبرگان'!$I68=4,'طیف فازی'!$C$5,'طیف فازی'!$C$6)))))</f>
        <v>1</v>
      </c>
      <c r="W68" s="19">
        <f>IF('امتیاز دهی خبرگان'!$I68=0,0,IF('امتیاز دهی خبرگان'!$I68=1,'طیف فازی'!$D$2,IF('امتیاز دهی خبرگان'!$I68=2,'طیف فازی'!$D$3,IF('امتیاز دهی خبرگان'!$I68=3,'طیف فازی'!$D$4,IF('امتیاز دهی خبرگان'!$I68=4,'طیف فازی'!$D$5,'طیف فازی'!$D$6)))))</f>
        <v>1</v>
      </c>
      <c r="X68" s="17">
        <f>IF('امتیاز دهی خبرگان'!$J68=0,0,IF('امتیاز دهی خبرگان'!$J68=1,'طیف فازی'!$B$2,IF('امتیاز دهی خبرگان'!$J68=2,'طیف فازی'!$B$3,IF('امتیاز دهی خبرگان'!$J68=3,'طیف فازی'!$B$4,IF('امتیاز دهی خبرگان'!$J68=4,'طیف فازی'!$B$5,'طیف فازی'!$B$6)))))</f>
        <v>0.25</v>
      </c>
      <c r="Y68" s="18">
        <f>IF('امتیاز دهی خبرگان'!$J68=0,0,IF('امتیاز دهی خبرگان'!$J68=1,'طیف فازی'!$C$2,IF('امتیاز دهی خبرگان'!$J68=2,'طیف فازی'!$C$3,IF('امتیاز دهی خبرگان'!$J68=3,'طیف فازی'!$C$4,IF('امتیاز دهی خبرگان'!$J68=4,'طیف فازی'!$C$5,'طیف فازی'!$C$6)))))</f>
        <v>0.5</v>
      </c>
      <c r="Z68" s="19">
        <f>IF('امتیاز دهی خبرگان'!$J68=0,0,IF('امتیاز دهی خبرگان'!$J68=1,'طیف فازی'!$D$2,IF('امتیاز دهی خبرگان'!$J68=2,'طیف فازی'!$D$3,IF('امتیاز دهی خبرگان'!$J68=3,'طیف فازی'!$D$4,IF('امتیاز دهی خبرگان'!$J68=4,'طیف فازی'!$D$5,'طیف فازی'!$D$6)))))</f>
        <v>0.75</v>
      </c>
      <c r="AA68" s="17">
        <f>IF('امتیاز دهی خبرگان'!$K68=0,0,IF('امتیاز دهی خبرگان'!$K68=1,'طیف فازی'!$B$2,IF('امتیاز دهی خبرگان'!$K68=2,'طیف فازی'!$B$3,IF('امتیاز دهی خبرگان'!$K68=3,'طیف فازی'!$B$4,IF('امتیاز دهی خبرگان'!$K68=4,'طیف فازی'!$B$5,'طیف فازی'!$B$6)))))</f>
        <v>0.5</v>
      </c>
      <c r="AB68" s="18">
        <f>IF('امتیاز دهی خبرگان'!$K68=0,0,IF('امتیاز دهی خبرگان'!$K68=1,'طیف فازی'!$C$2,IF('امتیاز دهی خبرگان'!$K68=2,'طیف فازی'!$C$3,IF('امتیاز دهی خبرگان'!$K68=3,'طیف فازی'!$C$4,IF('امتیاز دهی خبرگان'!$K68=4,'طیف فازی'!$C$5,'طیف فازی'!$C$6)))))</f>
        <v>0.75</v>
      </c>
      <c r="AC68" s="19">
        <f>IF('امتیاز دهی خبرگان'!$K68=0,0,IF('امتیاز دهی خبرگان'!$K68=1,'طیف فازی'!$D$2,IF('امتیاز دهی خبرگان'!$K68=2,'طیف فازی'!$D$3,IF('امتیاز دهی خبرگان'!$K68=3,'طیف فازی'!$D$4,IF('امتیاز دهی خبرگان'!$K68=4,'طیف فازی'!$D$5,'طیف فازی'!$D$6)))))</f>
        <v>1</v>
      </c>
      <c r="AD68" s="17">
        <f>IF('امتیاز دهی خبرگان'!$L68=0,0,IF('امتیاز دهی خبرگان'!$L68=1,'طیف فازی'!$B$2,IF('امتیاز دهی خبرگان'!$L68=2,'طیف فازی'!$B$3,IF('امتیاز دهی خبرگان'!$L68=3,'طیف فازی'!$B$4,IF('امتیاز دهی خبرگان'!$L68=4,'طیف فازی'!$B$5,'طیف فازی'!$B$6)))))</f>
        <v>0.5</v>
      </c>
      <c r="AE68" s="18">
        <f>IF('امتیاز دهی خبرگان'!$L68=0,0,IF('امتیاز دهی خبرگان'!$L68=1,'طیف فازی'!$C$2,IF('امتیاز دهی خبرگان'!$L68=2,'طیف فازی'!$C$3,IF('امتیاز دهی خبرگان'!$L68=3,'طیف فازی'!$C$4,IF('امتیاز دهی خبرگان'!$L68=4,'طیف فازی'!$C$5,'طیف فازی'!$C$6)))))</f>
        <v>0.75</v>
      </c>
      <c r="AF68" s="19">
        <f>IF('امتیاز دهی خبرگان'!$L68=0,0,IF('امتیاز دهی خبرگان'!$L68=1,'طیف فازی'!$D$2,IF('امتیاز دهی خبرگان'!$L68=2,'طیف فازی'!$D$3,IF('امتیاز دهی خبرگان'!$L68=3,'طیف فازی'!$D$4,IF('امتیاز دهی خبرگان'!$L68=4,'طیف فازی'!$D$5,'طیف فازی'!$D$6)))))</f>
        <v>1</v>
      </c>
      <c r="AG68" s="17">
        <f>IF('امتیاز دهی خبرگان'!$M68=0,0,IF('امتیاز دهی خبرگان'!$M68=1,'طیف فازی'!$B$2,IF('امتیاز دهی خبرگان'!$M68=2,'طیف فازی'!$B$3,IF('امتیاز دهی خبرگان'!$M68=3,'طیف فازی'!$B$4,IF('امتیاز دهی خبرگان'!$M68=4,'طیف فازی'!$B$5,'طیف فازی'!$B$6)))))</f>
        <v>0.25</v>
      </c>
      <c r="AH68" s="18">
        <f>IF('امتیاز دهی خبرگان'!$M68=0,0,IF('امتیاز دهی خبرگان'!$M68=1,'طیف فازی'!$C$2,IF('امتیاز دهی خبرگان'!$M68=2,'طیف فازی'!$C$3,IF('امتیاز دهی خبرگان'!$M68=3,'طیف فازی'!$C$4,IF('امتیاز دهی خبرگان'!$M68=4,'طیف فازی'!$C$5,'طیف فازی'!$C$6)))))</f>
        <v>0.5</v>
      </c>
      <c r="AI68" s="19">
        <f>IF('امتیاز دهی خبرگان'!$M68=0,0,IF('امتیاز دهی خبرگان'!$M68=1,'طیف فازی'!$D$2,IF('امتیاز دهی خبرگان'!$M68=2,'طیف فازی'!$D$3,IF('امتیاز دهی خبرگان'!$M68=3,'طیف فازی'!$D$4,IF('امتیاز دهی خبرگان'!$M68=4,'طیف فازی'!$D$5,'طیف فازی'!$D$6)))))</f>
        <v>0.75</v>
      </c>
      <c r="AJ68" s="17">
        <f>IF('امتیاز دهی خبرگان'!$N68=0,0,IF('امتیاز دهی خبرگان'!$N68=1,'طیف فازی'!$B$2,IF('امتیاز دهی خبرگان'!$N68=2,'طیف فازی'!$B$3,IF('امتیاز دهی خبرگان'!$N68=3,'طیف فازی'!$B$4,IF('امتیاز دهی خبرگان'!$N68=4,'طیف فازی'!$B$5,'طیف فازی'!$B$6)))))</f>
        <v>0.5</v>
      </c>
      <c r="AK68" s="18">
        <f>IF('امتیاز دهی خبرگان'!$N68=0,0,IF('امتیاز دهی خبرگان'!$N68=1,'طیف فازی'!$C$2,IF('امتیاز دهی خبرگان'!$N68=2,'طیف فازی'!$C$3,IF('امتیاز دهی خبرگان'!$N68=3,'طیف فازی'!$C$4,IF('امتیاز دهی خبرگان'!$N68=4,'طیف فازی'!$C$5,'طیف فازی'!$C$6)))))</f>
        <v>0.75</v>
      </c>
      <c r="AL68" s="19">
        <f>IF('امتیاز دهی خبرگان'!$N68=0,0,IF('امتیاز دهی خبرگان'!$N68=1,'طیف فازی'!$D$2,IF('امتیاز دهی خبرگان'!$N68=2,'طیف فازی'!$D$3,IF('امتیاز دهی خبرگان'!$N68=3,'طیف فازی'!$D$4,IF('امتیاز دهی خبرگان'!$N68=4,'طیف فازی'!$D$5,'طیف فازی'!$D$6)))))</f>
        <v>1</v>
      </c>
      <c r="AM68" s="23">
        <f t="shared" ref="AM68:AM123" si="9">C68+F68+I68+L68+O68+R68+U68+X68+AA68+AD68+AG68+AJ68</f>
        <v>6.25</v>
      </c>
      <c r="AN68" s="23">
        <f t="shared" ref="AN68:AN123" si="10">D68+G68+J68+M68+P68+S68+V68+Y68+AB68+AE68+AH68+AK68</f>
        <v>9.25</v>
      </c>
      <c r="AO68" s="24">
        <f t="shared" ref="AO68:AO123" si="11">E68+H68+K68+N68+Q68+T68+W68+Z68+AC68+AF68+AI68+AL68</f>
        <v>11.25</v>
      </c>
      <c r="AP68" s="25">
        <f t="shared" ref="AP68:AP123" si="12">(AM68)/$AU$4</f>
        <v>0.52083333333333337</v>
      </c>
      <c r="AQ68" s="23">
        <f t="shared" ref="AQ68:AQ123" si="13">(AN68)/$AU$4</f>
        <v>0.77083333333333337</v>
      </c>
      <c r="AR68" s="24">
        <f t="shared" ref="AR68:AR123" si="14">(AO68)/$AU$4</f>
        <v>0.9375</v>
      </c>
      <c r="AS68" s="24">
        <f t="shared" ref="AS68:AS123" si="15">AVERAGE(AP68:AR68)</f>
        <v>0.74305555555555569</v>
      </c>
      <c r="AT68" s="24" t="str">
        <f t="shared" ref="AT68:AT123" si="16">IF(AS68&gt;=0.7,"Pass","Not Pass")</f>
        <v>Pass</v>
      </c>
    </row>
    <row r="69" spans="2:46" ht="23.25" customHeight="1" thickBot="1" x14ac:dyDescent="0.85">
      <c r="B69" s="2">
        <v>66</v>
      </c>
      <c r="C69" s="17">
        <f>IF('امتیاز دهی خبرگان'!$C69=0,0,IF('امتیاز دهی خبرگان'!$C69=1,'طیف فازی'!$B$2,IF('امتیاز دهی خبرگان'!$C69=2,'طیف فازی'!$B$3,IF('امتیاز دهی خبرگان'!$C69=3,'طیف فازی'!$B$4,IF('امتیاز دهی خبرگان'!$C69=4,'طیف فازی'!$B$5,'طیف فازی'!$B$6)))))</f>
        <v>0.75</v>
      </c>
      <c r="D69" s="18">
        <f>IF('امتیاز دهی خبرگان'!$C69=0,0,IF('امتیاز دهی خبرگان'!$C69=1,'طیف فازی'!$C$2,IF('امتیاز دهی خبرگان'!$C69=2,'طیف فازی'!$C$3,IF('امتیاز دهی خبرگان'!$C69=3,'طیف فازی'!$C$4,IF('امتیاز دهی خبرگان'!$C69=4,'طیف فازی'!$C$5,'طیف فازی'!$C$6)))))</f>
        <v>1</v>
      </c>
      <c r="E69" s="19">
        <f>IF('امتیاز دهی خبرگان'!$C69=0,0,IF('امتیاز دهی خبرگان'!$C69=1,'طیف فازی'!$D$2,IF('امتیاز دهی خبرگان'!$C69=2,'طیف فازی'!$D$3,IF('امتیاز دهی خبرگان'!$C69=3,'طیف فازی'!$D$4,IF('امتیاز دهی خبرگان'!$C69=4,'طیف فازی'!$D$5,'طیف فازی'!$D$6)))))</f>
        <v>1</v>
      </c>
      <c r="F69" s="20">
        <f>IF('امتیاز دهی خبرگان'!$D69=0,0,IF('امتیاز دهی خبرگان'!$D69=1,'طیف فازی'!$B$2,IF('امتیاز دهی خبرگان'!$D69=2,'طیف فازی'!$B$3,IF('امتیاز دهی خبرگان'!$D69=3,'طیف فازی'!$B$4,IF('امتیاز دهی خبرگان'!$D69=4,'طیف فازی'!$B$5,'طیف فازی'!$B$6)))))</f>
        <v>0</v>
      </c>
      <c r="G69" s="21">
        <f>IF('امتیاز دهی خبرگان'!$D69=0,0,IF('امتیاز دهی خبرگان'!$D69=1,'طیف فازی'!$D$2,IF('امتیاز دهی خبرگان'!$D69=2,'طیف فازی'!$C$3,IF('امتیاز دهی خبرگان'!$D69=3,'طیف فازی'!$C$4,IF('امتیاز دهی خبرگان'!$D69=4,'طیف فازی'!$C$5,'طیف فازی'!$C$6)))))</f>
        <v>0.25</v>
      </c>
      <c r="H69" s="22">
        <f>IF('امتیاز دهی خبرگان'!$D69=0,0,IF('امتیاز دهی خبرگان'!$D69=1,'طیف فازی'!$D$2,IF('امتیاز دهی خبرگان'!$D69=2,'طیف فازی'!$D$3,IF('امتیاز دهی خبرگان'!$D69=3,'طیف فازی'!$D$4,IF('امتیاز دهی خبرگان'!$D69=4,'طیف فازی'!$D$5,'طیف فازی'!$D$6)))))</f>
        <v>0.5</v>
      </c>
      <c r="I69" s="17">
        <f>IF('امتیاز دهی خبرگان'!$E69=0,0,IF('امتیاز دهی خبرگان'!$E69=1,'طیف فازی'!$B$2,IF('امتیاز دهی خبرگان'!$E69=2,'طیف فازی'!$B$3,IF('امتیاز دهی خبرگان'!$E69=3,'طیف فازی'!$B$4,IF('امتیاز دهی خبرگان'!$E69=4,'طیف فازی'!$B$5,'طیف فازی'!$B$6)))))</f>
        <v>0.75</v>
      </c>
      <c r="J69" s="18">
        <f>IF('امتیاز دهی خبرگان'!$E69=0,0,IF('امتیاز دهی خبرگان'!$E69=1,'طیف فازی'!$C$2,IF('امتیاز دهی خبرگان'!$E69=2,'طیف فازی'!$C$3,IF('امتیاز دهی خبرگان'!$E69=3,'طیف فازی'!$C$4,IF('امتیاز دهی خبرگان'!$E69=4,'طیف فازی'!$C$5,'طیف فازی'!$C$6)))))</f>
        <v>1</v>
      </c>
      <c r="K69" s="19">
        <f>IF('امتیاز دهی خبرگان'!$E69=0,0,IF('امتیاز دهی خبرگان'!$E69=1,'طیف فازی'!$D$2,IF('امتیاز دهی خبرگان'!$E69=2,'طیف فازی'!$D$3,IF('امتیاز دهی خبرگان'!$E69=3,'طیف فازی'!$D$4,IF('امتیاز دهی خبرگان'!$E69=4,'طیف فازی'!$D$5,'طیف فازی'!$D$6)))))</f>
        <v>1</v>
      </c>
      <c r="L69" s="17">
        <f>IF('امتیاز دهی خبرگان'!$F69=0,0,IF('امتیاز دهی خبرگان'!$F69=1,'طیف فازی'!$B$2,IF('امتیاز دهی خبرگان'!$F69=2,'طیف فازی'!$B$3,IF('امتیاز دهی خبرگان'!$F69=3,'طیف فازی'!$B$4,IF('امتیاز دهی خبرگان'!$F69=4,'طیف فازی'!$B$5,'طیف فازی'!$B$6)))))</f>
        <v>0.75</v>
      </c>
      <c r="M69" s="18">
        <f>IF('امتیاز دهی خبرگان'!$F69=0,0,IF('امتیاز دهی خبرگان'!$F69=1,'طیف فازی'!$C$2,IF('امتیاز دهی خبرگان'!$F69=2,'طیف فازی'!$C$3,IF('امتیاز دهی خبرگان'!$F69=3,'طیف فازی'!$C$4,IF('امتیاز دهی خبرگان'!$F69=4,'طیف فازی'!$C$5,'طیف فازی'!$C$6)))))</f>
        <v>1</v>
      </c>
      <c r="N69" s="19">
        <f>IF('امتیاز دهی خبرگان'!$F69=0,0,IF('امتیاز دهی خبرگان'!$F69=1,'طیف فازی'!$D$2,IF('امتیاز دهی خبرگان'!$F69=2,'طیف فازی'!$D$3,IF('امتیاز دهی خبرگان'!$F69=3,'طیف فازی'!$D$4,IF('امتیاز دهی خبرگان'!$F69=4,'طیف فازی'!$D$5,'طیف فازی'!$D$6)))))</f>
        <v>1</v>
      </c>
      <c r="O69" s="17">
        <f>IF('امتیاز دهی خبرگان'!$G69=0,0,IF('امتیاز دهی خبرگان'!$G69=1,'طیف فازی'!$B$2,IF('امتیاز دهی خبرگان'!$G69=2,'طیف فازی'!$B$3,IF('امتیاز دهی خبرگان'!$G69=3,'طیف فازی'!$B$4,IF('امتیاز دهی خبرگان'!$G69=4,'طیف فازی'!$B$5,'طیف فازی'!$B$6)))))</f>
        <v>0.5</v>
      </c>
      <c r="P69" s="18">
        <f>IF('امتیاز دهی خبرگان'!$G69=0,0,IF('امتیاز دهی خبرگان'!$G69=1,'طیف فازی'!$C$2,IF('امتیاز دهی خبرگان'!$G69=2,'طیف فازی'!$C$3,IF('امتیاز دهی خبرگان'!$G69=3,'طیف فازی'!$C$4,IF('امتیاز دهی خبرگان'!$G69=4,'طیف فازی'!$C$5,'طیف فازی'!$C$6)))))</f>
        <v>0.75</v>
      </c>
      <c r="Q69" s="19">
        <f>IF('امتیاز دهی خبرگان'!$G69=0,0,IF('امتیاز دهی خبرگان'!$G69=1,'طیف فازی'!$D$2,IF('امتیاز دهی خبرگان'!$G69=2,'طیف فازی'!$D$3,IF('امتیاز دهی خبرگان'!$G69=3,'طیف فازی'!$D$4,IF('امتیاز دهی خبرگان'!$G69=4,'طیف فازی'!$D$5,'طیف فازی'!$D$6)))))</f>
        <v>1</v>
      </c>
      <c r="R69" s="17">
        <f>IF('امتیاز دهی خبرگان'!$H69=0,0,IF('امتیاز دهی خبرگان'!$H69=1,'طیف فازی'!$B$2,IF('امتیاز دهی خبرگان'!$H69=2,'طیف فازی'!$B$3,IF('امتیاز دهی خبرگان'!$H69=3,'طیف فازی'!$B$4,IF('امتیاز دهی خبرگان'!$H69=4,'طیف فازی'!$B$5,'طیف فازی'!$B$6)))))</f>
        <v>0.25</v>
      </c>
      <c r="S69" s="18">
        <f>IF('امتیاز دهی خبرگان'!$H69=0,0,IF('امتیاز دهی خبرگان'!$H69=1,'طیف فازی'!$C$2,IF('امتیاز دهی خبرگان'!$H69=2,'طیف فازی'!$C$3,IF('امتیاز دهی خبرگان'!$H69=3,'طیف فازی'!$C$4,IF('امتیاز دهی خبرگان'!$H69=4,'طیف فازی'!$C$5,'طیف فازی'!$C$6)))))</f>
        <v>0.5</v>
      </c>
      <c r="T69" s="19">
        <f>IF('امتیاز دهی خبرگان'!$H69=0,0,IF('امتیاز دهی خبرگان'!$H69=1,'طیف فازی'!$D$2,IF('امتیاز دهی خبرگان'!$H69=2,'طیف فازی'!$D$3,IF('امتیاز دهی خبرگان'!$H69=3,'طیف فازی'!$D$4,IF('امتیاز دهی خبرگان'!$H69=4,'طیف فازی'!$D$5,'طیف فازی'!$D$6)))))</f>
        <v>0.75</v>
      </c>
      <c r="U69" s="17">
        <f>IF('امتیاز دهی خبرگان'!$I69=0,0,IF('امتیاز دهی خبرگان'!$I69=1,'طیف فازی'!$B$2,IF('امتیاز دهی خبرگان'!$I69=2,'طیف فازی'!$B$3,IF('امتیاز دهی خبرگان'!$I69=3,'طیف فازی'!$B$4,IF('امتیاز دهی خبرگان'!$I69=4,'طیف فازی'!$B$5,'طیف فازی'!$B$6)))))</f>
        <v>0.75</v>
      </c>
      <c r="V69" s="18">
        <f>IF('امتیاز دهی خبرگان'!$I69=0,0,IF('امتیاز دهی خبرگان'!$I69=1,'طیف فازی'!$C$2,IF('امتیاز دهی خبرگان'!$I69=2,'طیف فازی'!$C$3,IF('امتیاز دهی خبرگان'!$I69=3,'طیف فازی'!$C$4,IF('امتیاز دهی خبرگان'!$I69=4,'طیف فازی'!$C$5,'طیف فازی'!$C$6)))))</f>
        <v>1</v>
      </c>
      <c r="W69" s="19">
        <f>IF('امتیاز دهی خبرگان'!$I69=0,0,IF('امتیاز دهی خبرگان'!$I69=1,'طیف فازی'!$D$2,IF('امتیاز دهی خبرگان'!$I69=2,'طیف فازی'!$D$3,IF('امتیاز دهی خبرگان'!$I69=3,'طیف فازی'!$D$4,IF('امتیاز دهی خبرگان'!$I69=4,'طیف فازی'!$D$5,'طیف فازی'!$D$6)))))</f>
        <v>1</v>
      </c>
      <c r="X69" s="17">
        <f>IF('امتیاز دهی خبرگان'!$J69=0,0,IF('امتیاز دهی خبرگان'!$J69=1,'طیف فازی'!$B$2,IF('امتیاز دهی خبرگان'!$J69=2,'طیف فازی'!$B$3,IF('امتیاز دهی خبرگان'!$J69=3,'طیف فازی'!$B$4,IF('امتیاز دهی خبرگان'!$J69=4,'طیف فازی'!$B$5,'طیف فازی'!$B$6)))))</f>
        <v>0.5</v>
      </c>
      <c r="Y69" s="18">
        <f>IF('امتیاز دهی خبرگان'!$J69=0,0,IF('امتیاز دهی خبرگان'!$J69=1,'طیف فازی'!$C$2,IF('امتیاز دهی خبرگان'!$J69=2,'طیف فازی'!$C$3,IF('امتیاز دهی خبرگان'!$J69=3,'طیف فازی'!$C$4,IF('امتیاز دهی خبرگان'!$J69=4,'طیف فازی'!$C$5,'طیف فازی'!$C$6)))))</f>
        <v>0.75</v>
      </c>
      <c r="Z69" s="19">
        <f>IF('امتیاز دهی خبرگان'!$J69=0,0,IF('امتیاز دهی خبرگان'!$J69=1,'طیف فازی'!$D$2,IF('امتیاز دهی خبرگان'!$J69=2,'طیف فازی'!$D$3,IF('امتیاز دهی خبرگان'!$J69=3,'طیف فازی'!$D$4,IF('امتیاز دهی خبرگان'!$J69=4,'طیف فازی'!$D$5,'طیف فازی'!$D$6)))))</f>
        <v>1</v>
      </c>
      <c r="AA69" s="17">
        <f>IF('امتیاز دهی خبرگان'!$K69=0,0,IF('امتیاز دهی خبرگان'!$K69=1,'طیف فازی'!$B$2,IF('امتیاز دهی خبرگان'!$K69=2,'طیف فازی'!$B$3,IF('امتیاز دهی خبرگان'!$K69=3,'طیف فازی'!$B$4,IF('امتیاز دهی خبرگان'!$K69=4,'طیف فازی'!$B$5,'طیف فازی'!$B$6)))))</f>
        <v>0.75</v>
      </c>
      <c r="AB69" s="18">
        <f>IF('امتیاز دهی خبرگان'!$K69=0,0,IF('امتیاز دهی خبرگان'!$K69=1,'طیف فازی'!$C$2,IF('امتیاز دهی خبرگان'!$K69=2,'طیف فازی'!$C$3,IF('امتیاز دهی خبرگان'!$K69=3,'طیف فازی'!$C$4,IF('امتیاز دهی خبرگان'!$K69=4,'طیف فازی'!$C$5,'طیف فازی'!$C$6)))))</f>
        <v>1</v>
      </c>
      <c r="AC69" s="19">
        <f>IF('امتیاز دهی خبرگان'!$K69=0,0,IF('امتیاز دهی خبرگان'!$K69=1,'طیف فازی'!$D$2,IF('امتیاز دهی خبرگان'!$K69=2,'طیف فازی'!$D$3,IF('امتیاز دهی خبرگان'!$K69=3,'طیف فازی'!$D$4,IF('امتیاز دهی خبرگان'!$K69=4,'طیف فازی'!$D$5,'طیف فازی'!$D$6)))))</f>
        <v>1</v>
      </c>
      <c r="AD69" s="17">
        <f>IF('امتیاز دهی خبرگان'!$L69=0,0,IF('امتیاز دهی خبرگان'!$L69=1,'طیف فازی'!$B$2,IF('امتیاز دهی خبرگان'!$L69=2,'طیف فازی'!$B$3,IF('امتیاز دهی خبرگان'!$L69=3,'طیف فازی'!$B$4,IF('امتیاز دهی خبرگان'!$L69=4,'طیف فازی'!$B$5,'طیف فازی'!$B$6)))))</f>
        <v>0.5</v>
      </c>
      <c r="AE69" s="18">
        <f>IF('امتیاز دهی خبرگان'!$L69=0,0,IF('امتیاز دهی خبرگان'!$L69=1,'طیف فازی'!$C$2,IF('امتیاز دهی خبرگان'!$L69=2,'طیف فازی'!$C$3,IF('امتیاز دهی خبرگان'!$L69=3,'طیف فازی'!$C$4,IF('امتیاز دهی خبرگان'!$L69=4,'طیف فازی'!$C$5,'طیف فازی'!$C$6)))))</f>
        <v>0.75</v>
      </c>
      <c r="AF69" s="19">
        <f>IF('امتیاز دهی خبرگان'!$L69=0,0,IF('امتیاز دهی خبرگان'!$L69=1,'طیف فازی'!$D$2,IF('امتیاز دهی خبرگان'!$L69=2,'طیف فازی'!$D$3,IF('امتیاز دهی خبرگان'!$L69=3,'طیف فازی'!$D$4,IF('امتیاز دهی خبرگان'!$L69=4,'طیف فازی'!$D$5,'طیف فازی'!$D$6)))))</f>
        <v>1</v>
      </c>
      <c r="AG69" s="17">
        <f>IF('امتیاز دهی خبرگان'!$M69=0,0,IF('امتیاز دهی خبرگان'!$M69=1,'طیف فازی'!$B$2,IF('امتیاز دهی خبرگان'!$M69=2,'طیف فازی'!$B$3,IF('امتیاز دهی خبرگان'!$M69=3,'طیف فازی'!$B$4,IF('امتیاز دهی خبرگان'!$M69=4,'طیف فازی'!$B$5,'طیف فازی'!$B$6)))))</f>
        <v>0.5</v>
      </c>
      <c r="AH69" s="18">
        <f>IF('امتیاز دهی خبرگان'!$M69=0,0,IF('امتیاز دهی خبرگان'!$M69=1,'طیف فازی'!$C$2,IF('امتیاز دهی خبرگان'!$M69=2,'طیف فازی'!$C$3,IF('امتیاز دهی خبرگان'!$M69=3,'طیف فازی'!$C$4,IF('امتیاز دهی خبرگان'!$M69=4,'طیف فازی'!$C$5,'طیف فازی'!$C$6)))))</f>
        <v>0.75</v>
      </c>
      <c r="AI69" s="19">
        <f>IF('امتیاز دهی خبرگان'!$M69=0,0,IF('امتیاز دهی خبرگان'!$M69=1,'طیف فازی'!$D$2,IF('امتیاز دهی خبرگان'!$M69=2,'طیف فازی'!$D$3,IF('امتیاز دهی خبرگان'!$M69=3,'طیف فازی'!$D$4,IF('امتیاز دهی خبرگان'!$M69=4,'طیف فازی'!$D$5,'طیف فازی'!$D$6)))))</f>
        <v>1</v>
      </c>
      <c r="AJ69" s="17">
        <f>IF('امتیاز دهی خبرگان'!$N69=0,0,IF('امتیاز دهی خبرگان'!$N69=1,'طیف فازی'!$B$2,IF('امتیاز دهی خبرگان'!$N69=2,'طیف فازی'!$B$3,IF('امتیاز دهی خبرگان'!$N69=3,'طیف فازی'!$B$4,IF('امتیاز دهی خبرگان'!$N69=4,'طیف فازی'!$B$5,'طیف فازی'!$B$6)))))</f>
        <v>0.5</v>
      </c>
      <c r="AK69" s="18">
        <f>IF('امتیاز دهی خبرگان'!$N69=0,0,IF('امتیاز دهی خبرگان'!$N69=1,'طیف فازی'!$C$2,IF('امتیاز دهی خبرگان'!$N69=2,'طیف فازی'!$C$3,IF('امتیاز دهی خبرگان'!$N69=3,'طیف فازی'!$C$4,IF('امتیاز دهی خبرگان'!$N69=4,'طیف فازی'!$C$5,'طیف فازی'!$C$6)))))</f>
        <v>0.75</v>
      </c>
      <c r="AL69" s="19">
        <f>IF('امتیاز دهی خبرگان'!$N69=0,0,IF('امتیاز دهی خبرگان'!$N69=1,'طیف فازی'!$D$2,IF('امتیاز دهی خبرگان'!$N69=2,'طیف فازی'!$D$3,IF('امتیاز دهی خبرگان'!$N69=3,'طیف فازی'!$D$4,IF('امتیاز دهی خبرگان'!$N69=4,'طیف فازی'!$D$5,'طیف فازی'!$D$6)))))</f>
        <v>1</v>
      </c>
      <c r="AM69" s="23">
        <f t="shared" si="9"/>
        <v>6.5</v>
      </c>
      <c r="AN69" s="23">
        <f t="shared" si="10"/>
        <v>9.5</v>
      </c>
      <c r="AO69" s="24">
        <f t="shared" si="11"/>
        <v>11.25</v>
      </c>
      <c r="AP69" s="25">
        <f t="shared" si="12"/>
        <v>0.54166666666666663</v>
      </c>
      <c r="AQ69" s="23">
        <f t="shared" si="13"/>
        <v>0.79166666666666663</v>
      </c>
      <c r="AR69" s="24">
        <f t="shared" si="14"/>
        <v>0.9375</v>
      </c>
      <c r="AS69" s="24">
        <f t="shared" si="15"/>
        <v>0.75694444444444431</v>
      </c>
      <c r="AT69" s="24" t="str">
        <f t="shared" si="16"/>
        <v>Pass</v>
      </c>
    </row>
    <row r="70" spans="2:46" ht="23.25" customHeight="1" thickBot="1" x14ac:dyDescent="0.85">
      <c r="B70" s="2">
        <v>67</v>
      </c>
      <c r="C70" s="17">
        <f>IF('امتیاز دهی خبرگان'!$C70=0,0,IF('امتیاز دهی خبرگان'!$C70=1,'طیف فازی'!$B$2,IF('امتیاز دهی خبرگان'!$C70=2,'طیف فازی'!$B$3,IF('امتیاز دهی خبرگان'!$C70=3,'طیف فازی'!$B$4,IF('امتیاز دهی خبرگان'!$C70=4,'طیف فازی'!$B$5,'طیف فازی'!$B$6)))))</f>
        <v>0.75</v>
      </c>
      <c r="D70" s="18">
        <f>IF('امتیاز دهی خبرگان'!$C70=0,0,IF('امتیاز دهی خبرگان'!$C70=1,'طیف فازی'!$C$2,IF('امتیاز دهی خبرگان'!$C70=2,'طیف فازی'!$C$3,IF('امتیاز دهی خبرگان'!$C70=3,'طیف فازی'!$C$4,IF('امتیاز دهی خبرگان'!$C70=4,'طیف فازی'!$C$5,'طیف فازی'!$C$6)))))</f>
        <v>1</v>
      </c>
      <c r="E70" s="19">
        <f>IF('امتیاز دهی خبرگان'!$C70=0,0,IF('امتیاز دهی خبرگان'!$C70=1,'طیف فازی'!$D$2,IF('امتیاز دهی خبرگان'!$C70=2,'طیف فازی'!$D$3,IF('امتیاز دهی خبرگان'!$C70=3,'طیف فازی'!$D$4,IF('امتیاز دهی خبرگان'!$C70=4,'طیف فازی'!$D$5,'طیف فازی'!$D$6)))))</f>
        <v>1</v>
      </c>
      <c r="F70" s="20">
        <f>IF('امتیاز دهی خبرگان'!$D70=0,0,IF('امتیاز دهی خبرگان'!$D70=1,'طیف فازی'!$B$2,IF('امتیاز دهی خبرگان'!$D70=2,'طیف فازی'!$B$3,IF('امتیاز دهی خبرگان'!$D70=3,'طیف فازی'!$B$4,IF('امتیاز دهی خبرگان'!$D70=4,'طیف فازی'!$B$5,'طیف فازی'!$B$6)))))</f>
        <v>0.25</v>
      </c>
      <c r="G70" s="21">
        <f>IF('امتیاز دهی خبرگان'!$D70=0,0,IF('امتیاز دهی خبرگان'!$D70=1,'طیف فازی'!$D$2,IF('امتیاز دهی خبرگان'!$D70=2,'طیف فازی'!$C$3,IF('امتیاز دهی خبرگان'!$D70=3,'طیف فازی'!$C$4,IF('امتیاز دهی خبرگان'!$D70=4,'طیف فازی'!$C$5,'طیف فازی'!$C$6)))))</f>
        <v>0.5</v>
      </c>
      <c r="H70" s="22">
        <f>IF('امتیاز دهی خبرگان'!$D70=0,0,IF('امتیاز دهی خبرگان'!$D70=1,'طیف فازی'!$D$2,IF('امتیاز دهی خبرگان'!$D70=2,'طیف فازی'!$D$3,IF('امتیاز دهی خبرگان'!$D70=3,'طیف فازی'!$D$4,IF('امتیاز دهی خبرگان'!$D70=4,'طیف فازی'!$D$5,'طیف فازی'!$D$6)))))</f>
        <v>0.75</v>
      </c>
      <c r="I70" s="17">
        <f>IF('امتیاز دهی خبرگان'!$E70=0,0,IF('امتیاز دهی خبرگان'!$E70=1,'طیف فازی'!$B$2,IF('امتیاز دهی خبرگان'!$E70=2,'طیف فازی'!$B$3,IF('امتیاز دهی خبرگان'!$E70=3,'طیف فازی'!$B$4,IF('امتیاز دهی خبرگان'!$E70=4,'طیف فازی'!$B$5,'طیف فازی'!$B$6)))))</f>
        <v>0.75</v>
      </c>
      <c r="J70" s="18">
        <f>IF('امتیاز دهی خبرگان'!$E70=0,0,IF('امتیاز دهی خبرگان'!$E70=1,'طیف فازی'!$C$2,IF('امتیاز دهی خبرگان'!$E70=2,'طیف فازی'!$C$3,IF('امتیاز دهی خبرگان'!$E70=3,'طیف فازی'!$C$4,IF('امتیاز دهی خبرگان'!$E70=4,'طیف فازی'!$C$5,'طیف فازی'!$C$6)))))</f>
        <v>1</v>
      </c>
      <c r="K70" s="19">
        <f>IF('امتیاز دهی خبرگان'!$E70=0,0,IF('امتیاز دهی خبرگان'!$E70=1,'طیف فازی'!$D$2,IF('امتیاز دهی خبرگان'!$E70=2,'طیف فازی'!$D$3,IF('امتیاز دهی خبرگان'!$E70=3,'طیف فازی'!$D$4,IF('امتیاز دهی خبرگان'!$E70=4,'طیف فازی'!$D$5,'طیف فازی'!$D$6)))))</f>
        <v>1</v>
      </c>
      <c r="L70" s="17">
        <f>IF('امتیاز دهی خبرگان'!$F70=0,0,IF('امتیاز دهی خبرگان'!$F70=1,'طیف فازی'!$B$2,IF('امتیاز دهی خبرگان'!$F70=2,'طیف فازی'!$B$3,IF('امتیاز دهی خبرگان'!$F70=3,'طیف فازی'!$B$4,IF('امتیاز دهی خبرگان'!$F70=4,'طیف فازی'!$B$5,'طیف فازی'!$B$6)))))</f>
        <v>0.75</v>
      </c>
      <c r="M70" s="18">
        <f>IF('امتیاز دهی خبرگان'!$F70=0,0,IF('امتیاز دهی خبرگان'!$F70=1,'طیف فازی'!$C$2,IF('امتیاز دهی خبرگان'!$F70=2,'طیف فازی'!$C$3,IF('امتیاز دهی خبرگان'!$F70=3,'طیف فازی'!$C$4,IF('امتیاز دهی خبرگان'!$F70=4,'طیف فازی'!$C$5,'طیف فازی'!$C$6)))))</f>
        <v>1</v>
      </c>
      <c r="N70" s="19">
        <f>IF('امتیاز دهی خبرگان'!$F70=0,0,IF('امتیاز دهی خبرگان'!$F70=1,'طیف فازی'!$D$2,IF('امتیاز دهی خبرگان'!$F70=2,'طیف فازی'!$D$3,IF('امتیاز دهی خبرگان'!$F70=3,'طیف فازی'!$D$4,IF('امتیاز دهی خبرگان'!$F70=4,'طیف فازی'!$D$5,'طیف فازی'!$D$6)))))</f>
        <v>1</v>
      </c>
      <c r="O70" s="17">
        <f>IF('امتیاز دهی خبرگان'!$G70=0,0,IF('امتیاز دهی خبرگان'!$G70=1,'طیف فازی'!$B$2,IF('امتیاز دهی خبرگان'!$G70=2,'طیف فازی'!$B$3,IF('امتیاز دهی خبرگان'!$G70=3,'طیف فازی'!$B$4,IF('امتیاز دهی خبرگان'!$G70=4,'طیف فازی'!$B$5,'طیف فازی'!$B$6)))))</f>
        <v>0</v>
      </c>
      <c r="P70" s="18">
        <f>IF('امتیاز دهی خبرگان'!$G70=0,0,IF('امتیاز دهی خبرگان'!$G70=1,'طیف فازی'!$C$2,IF('امتیاز دهی خبرگان'!$G70=2,'طیف فازی'!$C$3,IF('امتیاز دهی خبرگان'!$G70=3,'طیف فازی'!$C$4,IF('امتیاز دهی خبرگان'!$G70=4,'طیف فازی'!$C$5,'طیف فازی'!$C$6)))))</f>
        <v>0.25</v>
      </c>
      <c r="Q70" s="19">
        <f>IF('امتیاز دهی خبرگان'!$G70=0,0,IF('امتیاز دهی خبرگان'!$G70=1,'طیف فازی'!$D$2,IF('امتیاز دهی خبرگان'!$G70=2,'طیف فازی'!$D$3,IF('امتیاز دهی خبرگان'!$G70=3,'طیف فازی'!$D$4,IF('امتیاز دهی خبرگان'!$G70=4,'طیف فازی'!$D$5,'طیف فازی'!$D$6)))))</f>
        <v>0.5</v>
      </c>
      <c r="R70" s="17">
        <f>IF('امتیاز دهی خبرگان'!$H70=0,0,IF('امتیاز دهی خبرگان'!$H70=1,'طیف فازی'!$B$2,IF('امتیاز دهی خبرگان'!$H70=2,'طیف فازی'!$B$3,IF('امتیاز دهی خبرگان'!$H70=3,'طیف فازی'!$B$4,IF('امتیاز دهی خبرگان'!$H70=4,'طیف فازی'!$B$5,'طیف فازی'!$B$6)))))</f>
        <v>0.25</v>
      </c>
      <c r="S70" s="18">
        <f>IF('امتیاز دهی خبرگان'!$H70=0,0,IF('امتیاز دهی خبرگان'!$H70=1,'طیف فازی'!$C$2,IF('امتیاز دهی خبرگان'!$H70=2,'طیف فازی'!$C$3,IF('امتیاز دهی خبرگان'!$H70=3,'طیف فازی'!$C$4,IF('امتیاز دهی خبرگان'!$H70=4,'طیف فازی'!$C$5,'طیف فازی'!$C$6)))))</f>
        <v>0.5</v>
      </c>
      <c r="T70" s="19">
        <f>IF('امتیاز دهی خبرگان'!$H70=0,0,IF('امتیاز دهی خبرگان'!$H70=1,'طیف فازی'!$D$2,IF('امتیاز دهی خبرگان'!$H70=2,'طیف فازی'!$D$3,IF('امتیاز دهی خبرگان'!$H70=3,'طیف فازی'!$D$4,IF('امتیاز دهی خبرگان'!$H70=4,'طیف فازی'!$D$5,'طیف فازی'!$D$6)))))</f>
        <v>0.75</v>
      </c>
      <c r="U70" s="17">
        <f>IF('امتیاز دهی خبرگان'!$I70=0,0,IF('امتیاز دهی خبرگان'!$I70=1,'طیف فازی'!$B$2,IF('امتیاز دهی خبرگان'!$I70=2,'طیف فازی'!$B$3,IF('امتیاز دهی خبرگان'!$I70=3,'طیف فازی'!$B$4,IF('امتیاز دهی خبرگان'!$I70=4,'طیف فازی'!$B$5,'طیف فازی'!$B$6)))))</f>
        <v>0.75</v>
      </c>
      <c r="V70" s="18">
        <f>IF('امتیاز دهی خبرگان'!$I70=0,0,IF('امتیاز دهی خبرگان'!$I70=1,'طیف فازی'!$C$2,IF('امتیاز دهی خبرگان'!$I70=2,'طیف فازی'!$C$3,IF('امتیاز دهی خبرگان'!$I70=3,'طیف فازی'!$C$4,IF('امتیاز دهی خبرگان'!$I70=4,'طیف فازی'!$C$5,'طیف فازی'!$C$6)))))</f>
        <v>1</v>
      </c>
      <c r="W70" s="19">
        <f>IF('امتیاز دهی خبرگان'!$I70=0,0,IF('امتیاز دهی خبرگان'!$I70=1,'طیف فازی'!$D$2,IF('امتیاز دهی خبرگان'!$I70=2,'طیف فازی'!$D$3,IF('امتیاز دهی خبرگان'!$I70=3,'طیف فازی'!$D$4,IF('امتیاز دهی خبرگان'!$I70=4,'طیف فازی'!$D$5,'طیف فازی'!$D$6)))))</f>
        <v>1</v>
      </c>
      <c r="X70" s="17">
        <f>IF('امتیاز دهی خبرگان'!$J70=0,0,IF('امتیاز دهی خبرگان'!$J70=1,'طیف فازی'!$B$2,IF('امتیاز دهی خبرگان'!$J70=2,'طیف فازی'!$B$3,IF('امتیاز دهی خبرگان'!$J70=3,'طیف فازی'!$B$4,IF('امتیاز دهی خبرگان'!$J70=4,'طیف فازی'!$B$5,'طیف فازی'!$B$6)))))</f>
        <v>0.5</v>
      </c>
      <c r="Y70" s="18">
        <f>IF('امتیاز دهی خبرگان'!$J70=0,0,IF('امتیاز دهی خبرگان'!$J70=1,'طیف فازی'!$C$2,IF('امتیاز دهی خبرگان'!$J70=2,'طیف فازی'!$C$3,IF('امتیاز دهی خبرگان'!$J70=3,'طیف فازی'!$C$4,IF('امتیاز دهی خبرگان'!$J70=4,'طیف فازی'!$C$5,'طیف فازی'!$C$6)))))</f>
        <v>0.75</v>
      </c>
      <c r="Z70" s="19">
        <f>IF('امتیاز دهی خبرگان'!$J70=0,0,IF('امتیاز دهی خبرگان'!$J70=1,'طیف فازی'!$D$2,IF('امتیاز دهی خبرگان'!$J70=2,'طیف فازی'!$D$3,IF('امتیاز دهی خبرگان'!$J70=3,'طیف فازی'!$D$4,IF('امتیاز دهی خبرگان'!$J70=4,'طیف فازی'!$D$5,'طیف فازی'!$D$6)))))</f>
        <v>1</v>
      </c>
      <c r="AA70" s="17">
        <f>IF('امتیاز دهی خبرگان'!$K70=0,0,IF('امتیاز دهی خبرگان'!$K70=1,'طیف فازی'!$B$2,IF('امتیاز دهی خبرگان'!$K70=2,'طیف فازی'!$B$3,IF('امتیاز دهی خبرگان'!$K70=3,'طیف فازی'!$B$4,IF('امتیاز دهی خبرگان'!$K70=4,'طیف فازی'!$B$5,'طیف فازی'!$B$6)))))</f>
        <v>0.75</v>
      </c>
      <c r="AB70" s="18">
        <f>IF('امتیاز دهی خبرگان'!$K70=0,0,IF('امتیاز دهی خبرگان'!$K70=1,'طیف فازی'!$C$2,IF('امتیاز دهی خبرگان'!$K70=2,'طیف فازی'!$C$3,IF('امتیاز دهی خبرگان'!$K70=3,'طیف فازی'!$C$4,IF('امتیاز دهی خبرگان'!$K70=4,'طیف فازی'!$C$5,'طیف فازی'!$C$6)))))</f>
        <v>1</v>
      </c>
      <c r="AC70" s="19">
        <f>IF('امتیاز دهی خبرگان'!$K70=0,0,IF('امتیاز دهی خبرگان'!$K70=1,'طیف فازی'!$D$2,IF('امتیاز دهی خبرگان'!$K70=2,'طیف فازی'!$D$3,IF('امتیاز دهی خبرگان'!$K70=3,'طیف فازی'!$D$4,IF('امتیاز دهی خبرگان'!$K70=4,'طیف فازی'!$D$5,'طیف فازی'!$D$6)))))</f>
        <v>1</v>
      </c>
      <c r="AD70" s="17">
        <f>IF('امتیاز دهی خبرگان'!$L70=0,0,IF('امتیاز دهی خبرگان'!$L70=1,'طیف فازی'!$B$2,IF('امتیاز دهی خبرگان'!$L70=2,'طیف فازی'!$B$3,IF('امتیاز دهی خبرگان'!$L70=3,'طیف فازی'!$B$4,IF('امتیاز دهی خبرگان'!$L70=4,'طیف فازی'!$B$5,'طیف فازی'!$B$6)))))</f>
        <v>0.25</v>
      </c>
      <c r="AE70" s="18">
        <f>IF('امتیاز دهی خبرگان'!$L70=0,0,IF('امتیاز دهی خبرگان'!$L70=1,'طیف فازی'!$C$2,IF('امتیاز دهی خبرگان'!$L70=2,'طیف فازی'!$C$3,IF('امتیاز دهی خبرگان'!$L70=3,'طیف فازی'!$C$4,IF('امتیاز دهی خبرگان'!$L70=4,'طیف فازی'!$C$5,'طیف فازی'!$C$6)))))</f>
        <v>0.5</v>
      </c>
      <c r="AF70" s="19">
        <f>IF('امتیاز دهی خبرگان'!$L70=0,0,IF('امتیاز دهی خبرگان'!$L70=1,'طیف فازی'!$D$2,IF('امتیاز دهی خبرگان'!$L70=2,'طیف فازی'!$D$3,IF('امتیاز دهی خبرگان'!$L70=3,'طیف فازی'!$D$4,IF('امتیاز دهی خبرگان'!$L70=4,'طیف فازی'!$D$5,'طیف فازی'!$D$6)))))</f>
        <v>0.75</v>
      </c>
      <c r="AG70" s="17">
        <f>IF('امتیاز دهی خبرگان'!$M70=0,0,IF('امتیاز دهی خبرگان'!$M70=1,'طیف فازی'!$B$2,IF('امتیاز دهی خبرگان'!$M70=2,'طیف فازی'!$B$3,IF('امتیاز دهی خبرگان'!$M70=3,'طیف فازی'!$B$4,IF('امتیاز دهی خبرگان'!$M70=4,'طیف فازی'!$B$5,'طیف فازی'!$B$6)))))</f>
        <v>0.5</v>
      </c>
      <c r="AH70" s="18">
        <f>IF('امتیاز دهی خبرگان'!$M70=0,0,IF('امتیاز دهی خبرگان'!$M70=1,'طیف فازی'!$C$2,IF('امتیاز دهی خبرگان'!$M70=2,'طیف فازی'!$C$3,IF('امتیاز دهی خبرگان'!$M70=3,'طیف فازی'!$C$4,IF('امتیاز دهی خبرگان'!$M70=4,'طیف فازی'!$C$5,'طیف فازی'!$C$6)))))</f>
        <v>0.75</v>
      </c>
      <c r="AI70" s="19">
        <f>IF('امتیاز دهی خبرگان'!$M70=0,0,IF('امتیاز دهی خبرگان'!$M70=1,'طیف فازی'!$D$2,IF('امتیاز دهی خبرگان'!$M70=2,'طیف فازی'!$D$3,IF('امتیاز دهی خبرگان'!$M70=3,'طیف فازی'!$D$4,IF('امتیاز دهی خبرگان'!$M70=4,'طیف فازی'!$D$5,'طیف فازی'!$D$6)))))</f>
        <v>1</v>
      </c>
      <c r="AJ70" s="17">
        <f>IF('امتیاز دهی خبرگان'!$N70=0,0,IF('امتیاز دهی خبرگان'!$N70=1,'طیف فازی'!$B$2,IF('امتیاز دهی خبرگان'!$N70=2,'طیف فازی'!$B$3,IF('امتیاز دهی خبرگان'!$N70=3,'طیف فازی'!$B$4,IF('امتیاز دهی خبرگان'!$N70=4,'طیف فازی'!$B$5,'طیف فازی'!$B$6)))))</f>
        <v>0.75</v>
      </c>
      <c r="AK70" s="18">
        <f>IF('امتیاز دهی خبرگان'!$N70=0,0,IF('امتیاز دهی خبرگان'!$N70=1,'طیف فازی'!$C$2,IF('امتیاز دهی خبرگان'!$N70=2,'طیف فازی'!$C$3,IF('امتیاز دهی خبرگان'!$N70=3,'طیف فازی'!$C$4,IF('امتیاز دهی خبرگان'!$N70=4,'طیف فازی'!$C$5,'طیف فازی'!$C$6)))))</f>
        <v>1</v>
      </c>
      <c r="AL70" s="19">
        <f>IF('امتیاز دهی خبرگان'!$N70=0,0,IF('امتیاز دهی خبرگان'!$N70=1,'طیف فازی'!$D$2,IF('امتیاز دهی خبرگان'!$N70=2,'طیف فازی'!$D$3,IF('امتیاز دهی خبرگان'!$N70=3,'طیف فازی'!$D$4,IF('امتیاز دهی خبرگان'!$N70=4,'طیف فازی'!$D$5,'طیف فازی'!$D$6)))))</f>
        <v>1</v>
      </c>
      <c r="AM70" s="23">
        <f t="shared" si="9"/>
        <v>6.25</v>
      </c>
      <c r="AN70" s="23">
        <f t="shared" si="10"/>
        <v>9.25</v>
      </c>
      <c r="AO70" s="24">
        <f t="shared" si="11"/>
        <v>10.75</v>
      </c>
      <c r="AP70" s="25">
        <f t="shared" si="12"/>
        <v>0.52083333333333337</v>
      </c>
      <c r="AQ70" s="23">
        <f t="shared" si="13"/>
        <v>0.77083333333333337</v>
      </c>
      <c r="AR70" s="24">
        <f t="shared" si="14"/>
        <v>0.89583333333333337</v>
      </c>
      <c r="AS70" s="24">
        <f t="shared" si="15"/>
        <v>0.72916666666666663</v>
      </c>
      <c r="AT70" s="24" t="str">
        <f t="shared" si="16"/>
        <v>Pass</v>
      </c>
    </row>
    <row r="71" spans="2:46" ht="23.25" customHeight="1" thickBot="1" x14ac:dyDescent="0.85">
      <c r="B71" s="2">
        <v>68</v>
      </c>
      <c r="C71" s="17">
        <f>IF('امتیاز دهی خبرگان'!$C71=0,0,IF('امتیاز دهی خبرگان'!$C71=1,'طیف فازی'!$B$2,IF('امتیاز دهی خبرگان'!$C71=2,'طیف فازی'!$B$3,IF('امتیاز دهی خبرگان'!$C71=3,'طیف فازی'!$B$4,IF('امتیاز دهی خبرگان'!$C71=4,'طیف فازی'!$B$5,'طیف فازی'!$B$6)))))</f>
        <v>0.75</v>
      </c>
      <c r="D71" s="18">
        <f>IF('امتیاز دهی خبرگان'!$C71=0,0,IF('امتیاز دهی خبرگان'!$C71=1,'طیف فازی'!$C$2,IF('امتیاز دهی خبرگان'!$C71=2,'طیف فازی'!$C$3,IF('امتیاز دهی خبرگان'!$C71=3,'طیف فازی'!$C$4,IF('امتیاز دهی خبرگان'!$C71=4,'طیف فازی'!$C$5,'طیف فازی'!$C$6)))))</f>
        <v>1</v>
      </c>
      <c r="E71" s="19">
        <f>IF('امتیاز دهی خبرگان'!$C71=0,0,IF('امتیاز دهی خبرگان'!$C71=1,'طیف فازی'!$D$2,IF('امتیاز دهی خبرگان'!$C71=2,'طیف فازی'!$D$3,IF('امتیاز دهی خبرگان'!$C71=3,'طیف فازی'!$D$4,IF('امتیاز دهی خبرگان'!$C71=4,'طیف فازی'!$D$5,'طیف فازی'!$D$6)))))</f>
        <v>1</v>
      </c>
      <c r="F71" s="20">
        <f>IF('امتیاز دهی خبرگان'!$D71=0,0,IF('امتیاز دهی خبرگان'!$D71=1,'طیف فازی'!$B$2,IF('امتیاز دهی خبرگان'!$D71=2,'طیف فازی'!$B$3,IF('امتیاز دهی خبرگان'!$D71=3,'طیف فازی'!$B$4,IF('امتیاز دهی خبرگان'!$D71=4,'طیف فازی'!$B$5,'طیف فازی'!$B$6)))))</f>
        <v>0.25</v>
      </c>
      <c r="G71" s="21">
        <f>IF('امتیاز دهی خبرگان'!$D71=0,0,IF('امتیاز دهی خبرگان'!$D71=1,'طیف فازی'!$D$2,IF('امتیاز دهی خبرگان'!$D71=2,'طیف فازی'!$C$3,IF('امتیاز دهی خبرگان'!$D71=3,'طیف فازی'!$C$4,IF('امتیاز دهی خبرگان'!$D71=4,'طیف فازی'!$C$5,'طیف فازی'!$C$6)))))</f>
        <v>0.5</v>
      </c>
      <c r="H71" s="22">
        <f>IF('امتیاز دهی خبرگان'!$D71=0,0,IF('امتیاز دهی خبرگان'!$D71=1,'طیف فازی'!$D$2,IF('امتیاز دهی خبرگان'!$D71=2,'طیف فازی'!$D$3,IF('امتیاز دهی خبرگان'!$D71=3,'طیف فازی'!$D$4,IF('امتیاز دهی خبرگان'!$D71=4,'طیف فازی'!$D$5,'طیف فازی'!$D$6)))))</f>
        <v>0.75</v>
      </c>
      <c r="I71" s="17">
        <f>IF('امتیاز دهی خبرگان'!$E71=0,0,IF('امتیاز دهی خبرگان'!$E71=1,'طیف فازی'!$B$2,IF('امتیاز دهی خبرگان'!$E71=2,'طیف فازی'!$B$3,IF('امتیاز دهی خبرگان'!$E71=3,'طیف فازی'!$B$4,IF('امتیاز دهی خبرگان'!$E71=4,'طیف فازی'!$B$5,'طیف فازی'!$B$6)))))</f>
        <v>0.5</v>
      </c>
      <c r="J71" s="18">
        <f>IF('امتیاز دهی خبرگان'!$E71=0,0,IF('امتیاز دهی خبرگان'!$E71=1,'طیف فازی'!$C$2,IF('امتیاز دهی خبرگان'!$E71=2,'طیف فازی'!$C$3,IF('امتیاز دهی خبرگان'!$E71=3,'طیف فازی'!$C$4,IF('امتیاز دهی خبرگان'!$E71=4,'طیف فازی'!$C$5,'طیف فازی'!$C$6)))))</f>
        <v>0.75</v>
      </c>
      <c r="K71" s="19">
        <f>IF('امتیاز دهی خبرگان'!$E71=0,0,IF('امتیاز دهی خبرگان'!$E71=1,'طیف فازی'!$D$2,IF('امتیاز دهی خبرگان'!$E71=2,'طیف فازی'!$D$3,IF('امتیاز دهی خبرگان'!$E71=3,'طیف فازی'!$D$4,IF('امتیاز دهی خبرگان'!$E71=4,'طیف فازی'!$D$5,'طیف فازی'!$D$6)))))</f>
        <v>1</v>
      </c>
      <c r="L71" s="17">
        <f>IF('امتیاز دهی خبرگان'!$F71=0,0,IF('امتیاز دهی خبرگان'!$F71=1,'طیف فازی'!$B$2,IF('امتیاز دهی خبرگان'!$F71=2,'طیف فازی'!$B$3,IF('امتیاز دهی خبرگان'!$F71=3,'طیف فازی'!$B$4,IF('امتیاز دهی خبرگان'!$F71=4,'طیف فازی'!$B$5,'طیف فازی'!$B$6)))))</f>
        <v>0.75</v>
      </c>
      <c r="M71" s="18">
        <f>IF('امتیاز دهی خبرگان'!$F71=0,0,IF('امتیاز دهی خبرگان'!$F71=1,'طیف فازی'!$C$2,IF('امتیاز دهی خبرگان'!$F71=2,'طیف فازی'!$C$3,IF('امتیاز دهی خبرگان'!$F71=3,'طیف فازی'!$C$4,IF('امتیاز دهی خبرگان'!$F71=4,'طیف فازی'!$C$5,'طیف فازی'!$C$6)))))</f>
        <v>1</v>
      </c>
      <c r="N71" s="19">
        <f>IF('امتیاز دهی خبرگان'!$F71=0,0,IF('امتیاز دهی خبرگان'!$F71=1,'طیف فازی'!$D$2,IF('امتیاز دهی خبرگان'!$F71=2,'طیف فازی'!$D$3,IF('امتیاز دهی خبرگان'!$F71=3,'طیف فازی'!$D$4,IF('امتیاز دهی خبرگان'!$F71=4,'طیف فازی'!$D$5,'طیف فازی'!$D$6)))))</f>
        <v>1</v>
      </c>
      <c r="O71" s="17">
        <f>IF('امتیاز دهی خبرگان'!$G71=0,0,IF('امتیاز دهی خبرگان'!$G71=1,'طیف فازی'!$B$2,IF('امتیاز دهی خبرگان'!$G71=2,'طیف فازی'!$B$3,IF('امتیاز دهی خبرگان'!$G71=3,'طیف فازی'!$B$4,IF('امتیاز دهی خبرگان'!$G71=4,'طیف فازی'!$B$5,'طیف فازی'!$B$6)))))</f>
        <v>0.5</v>
      </c>
      <c r="P71" s="18">
        <f>IF('امتیاز دهی خبرگان'!$G71=0,0,IF('امتیاز دهی خبرگان'!$G71=1,'طیف فازی'!$C$2,IF('امتیاز دهی خبرگان'!$G71=2,'طیف فازی'!$C$3,IF('امتیاز دهی خبرگان'!$G71=3,'طیف فازی'!$C$4,IF('امتیاز دهی خبرگان'!$G71=4,'طیف فازی'!$C$5,'طیف فازی'!$C$6)))))</f>
        <v>0.75</v>
      </c>
      <c r="Q71" s="19">
        <f>IF('امتیاز دهی خبرگان'!$G71=0,0,IF('امتیاز دهی خبرگان'!$G71=1,'طیف فازی'!$D$2,IF('امتیاز دهی خبرگان'!$G71=2,'طیف فازی'!$D$3,IF('امتیاز دهی خبرگان'!$G71=3,'طیف فازی'!$D$4,IF('امتیاز دهی خبرگان'!$G71=4,'طیف فازی'!$D$5,'طیف فازی'!$D$6)))))</f>
        <v>1</v>
      </c>
      <c r="R71" s="17">
        <f>IF('امتیاز دهی خبرگان'!$H71=0,0,IF('امتیاز دهی خبرگان'!$H71=1,'طیف فازی'!$B$2,IF('امتیاز دهی خبرگان'!$H71=2,'طیف فازی'!$B$3,IF('امتیاز دهی خبرگان'!$H71=3,'طیف فازی'!$B$4,IF('امتیاز دهی خبرگان'!$H71=4,'طیف فازی'!$B$5,'طیف فازی'!$B$6)))))</f>
        <v>0.5</v>
      </c>
      <c r="S71" s="18">
        <f>IF('امتیاز دهی خبرگان'!$H71=0,0,IF('امتیاز دهی خبرگان'!$H71=1,'طیف فازی'!$C$2,IF('امتیاز دهی خبرگان'!$H71=2,'طیف فازی'!$C$3,IF('امتیاز دهی خبرگان'!$H71=3,'طیف فازی'!$C$4,IF('امتیاز دهی خبرگان'!$H71=4,'طیف فازی'!$C$5,'طیف فازی'!$C$6)))))</f>
        <v>0.75</v>
      </c>
      <c r="T71" s="19">
        <f>IF('امتیاز دهی خبرگان'!$H71=0,0,IF('امتیاز دهی خبرگان'!$H71=1,'طیف فازی'!$D$2,IF('امتیاز دهی خبرگان'!$H71=2,'طیف فازی'!$D$3,IF('امتیاز دهی خبرگان'!$H71=3,'طیف فازی'!$D$4,IF('امتیاز دهی خبرگان'!$H71=4,'طیف فازی'!$D$5,'طیف فازی'!$D$6)))))</f>
        <v>1</v>
      </c>
      <c r="U71" s="17">
        <f>IF('امتیاز دهی خبرگان'!$I71=0,0,IF('امتیاز دهی خبرگان'!$I71=1,'طیف فازی'!$B$2,IF('امتیاز دهی خبرگان'!$I71=2,'طیف فازی'!$B$3,IF('امتیاز دهی خبرگان'!$I71=3,'طیف فازی'!$B$4,IF('امتیاز دهی خبرگان'!$I71=4,'طیف فازی'!$B$5,'طیف فازی'!$B$6)))))</f>
        <v>0.75</v>
      </c>
      <c r="V71" s="18">
        <f>IF('امتیاز دهی خبرگان'!$I71=0,0,IF('امتیاز دهی خبرگان'!$I71=1,'طیف فازی'!$C$2,IF('امتیاز دهی خبرگان'!$I71=2,'طیف فازی'!$C$3,IF('امتیاز دهی خبرگان'!$I71=3,'طیف فازی'!$C$4,IF('امتیاز دهی خبرگان'!$I71=4,'طیف فازی'!$C$5,'طیف فازی'!$C$6)))))</f>
        <v>1</v>
      </c>
      <c r="W71" s="19">
        <f>IF('امتیاز دهی خبرگان'!$I71=0,0,IF('امتیاز دهی خبرگان'!$I71=1,'طیف فازی'!$D$2,IF('امتیاز دهی خبرگان'!$I71=2,'طیف فازی'!$D$3,IF('امتیاز دهی خبرگان'!$I71=3,'طیف فازی'!$D$4,IF('امتیاز دهی خبرگان'!$I71=4,'طیف فازی'!$D$5,'طیف فازی'!$D$6)))))</f>
        <v>1</v>
      </c>
      <c r="X71" s="17">
        <f>IF('امتیاز دهی خبرگان'!$J71=0,0,IF('امتیاز دهی خبرگان'!$J71=1,'طیف فازی'!$B$2,IF('امتیاز دهی خبرگان'!$J71=2,'طیف فازی'!$B$3,IF('امتیاز دهی خبرگان'!$J71=3,'طیف فازی'!$B$4,IF('امتیاز دهی خبرگان'!$J71=4,'طیف فازی'!$B$5,'طیف فازی'!$B$6)))))</f>
        <v>0.25</v>
      </c>
      <c r="Y71" s="18">
        <f>IF('امتیاز دهی خبرگان'!$J71=0,0,IF('امتیاز دهی خبرگان'!$J71=1,'طیف فازی'!$C$2,IF('امتیاز دهی خبرگان'!$J71=2,'طیف فازی'!$C$3,IF('امتیاز دهی خبرگان'!$J71=3,'طیف فازی'!$C$4,IF('امتیاز دهی خبرگان'!$J71=4,'طیف فازی'!$C$5,'طیف فازی'!$C$6)))))</f>
        <v>0.5</v>
      </c>
      <c r="Z71" s="19">
        <f>IF('امتیاز دهی خبرگان'!$J71=0,0,IF('امتیاز دهی خبرگان'!$J71=1,'طیف فازی'!$D$2,IF('امتیاز دهی خبرگان'!$J71=2,'طیف فازی'!$D$3,IF('امتیاز دهی خبرگان'!$J71=3,'طیف فازی'!$D$4,IF('امتیاز دهی خبرگان'!$J71=4,'طیف فازی'!$D$5,'طیف فازی'!$D$6)))))</f>
        <v>0.75</v>
      </c>
      <c r="AA71" s="17">
        <f>IF('امتیاز دهی خبرگان'!$K71=0,0,IF('امتیاز دهی خبرگان'!$K71=1,'طیف فازی'!$B$2,IF('امتیاز دهی خبرگان'!$K71=2,'طیف فازی'!$B$3,IF('امتیاز دهی خبرگان'!$K71=3,'طیف فازی'!$B$4,IF('امتیاز دهی خبرگان'!$K71=4,'طیف فازی'!$B$5,'طیف فازی'!$B$6)))))</f>
        <v>0.5</v>
      </c>
      <c r="AB71" s="18">
        <f>IF('امتیاز دهی خبرگان'!$K71=0,0,IF('امتیاز دهی خبرگان'!$K71=1,'طیف فازی'!$C$2,IF('امتیاز دهی خبرگان'!$K71=2,'طیف فازی'!$C$3,IF('امتیاز دهی خبرگان'!$K71=3,'طیف فازی'!$C$4,IF('امتیاز دهی خبرگان'!$K71=4,'طیف فازی'!$C$5,'طیف فازی'!$C$6)))))</f>
        <v>0.75</v>
      </c>
      <c r="AC71" s="19">
        <f>IF('امتیاز دهی خبرگان'!$K71=0,0,IF('امتیاز دهی خبرگان'!$K71=1,'طیف فازی'!$D$2,IF('امتیاز دهی خبرگان'!$K71=2,'طیف فازی'!$D$3,IF('امتیاز دهی خبرگان'!$K71=3,'طیف فازی'!$D$4,IF('امتیاز دهی خبرگان'!$K71=4,'طیف فازی'!$D$5,'طیف فازی'!$D$6)))))</f>
        <v>1</v>
      </c>
      <c r="AD71" s="17">
        <f>IF('امتیاز دهی خبرگان'!$L71=0,0,IF('امتیاز دهی خبرگان'!$L71=1,'طیف فازی'!$B$2,IF('امتیاز دهی خبرگان'!$L71=2,'طیف فازی'!$B$3,IF('امتیاز دهی خبرگان'!$L71=3,'طیف فازی'!$B$4,IF('امتیاز دهی خبرگان'!$L71=4,'طیف فازی'!$B$5,'طیف فازی'!$B$6)))))</f>
        <v>0.25</v>
      </c>
      <c r="AE71" s="18">
        <f>IF('امتیاز دهی خبرگان'!$L71=0,0,IF('امتیاز دهی خبرگان'!$L71=1,'طیف فازی'!$C$2,IF('امتیاز دهی خبرگان'!$L71=2,'طیف فازی'!$C$3,IF('امتیاز دهی خبرگان'!$L71=3,'طیف فازی'!$C$4,IF('امتیاز دهی خبرگان'!$L71=4,'طیف فازی'!$C$5,'طیف فازی'!$C$6)))))</f>
        <v>0.5</v>
      </c>
      <c r="AF71" s="19">
        <f>IF('امتیاز دهی خبرگان'!$L71=0,0,IF('امتیاز دهی خبرگان'!$L71=1,'طیف فازی'!$D$2,IF('امتیاز دهی خبرگان'!$L71=2,'طیف فازی'!$D$3,IF('امتیاز دهی خبرگان'!$L71=3,'طیف فازی'!$D$4,IF('امتیاز دهی خبرگان'!$L71=4,'طیف فازی'!$D$5,'طیف فازی'!$D$6)))))</f>
        <v>0.75</v>
      </c>
      <c r="AG71" s="17">
        <f>IF('امتیاز دهی خبرگان'!$M71=0,0,IF('امتیاز دهی خبرگان'!$M71=1,'طیف فازی'!$B$2,IF('امتیاز دهی خبرگان'!$M71=2,'طیف فازی'!$B$3,IF('امتیاز دهی خبرگان'!$M71=3,'طیف فازی'!$B$4,IF('امتیاز دهی خبرگان'!$M71=4,'طیف فازی'!$B$5,'طیف فازی'!$B$6)))))</f>
        <v>0.5</v>
      </c>
      <c r="AH71" s="18">
        <f>IF('امتیاز دهی خبرگان'!$M71=0,0,IF('امتیاز دهی خبرگان'!$M71=1,'طیف فازی'!$C$2,IF('امتیاز دهی خبرگان'!$M71=2,'طیف فازی'!$C$3,IF('امتیاز دهی خبرگان'!$M71=3,'طیف فازی'!$C$4,IF('امتیاز دهی خبرگان'!$M71=4,'طیف فازی'!$C$5,'طیف فازی'!$C$6)))))</f>
        <v>0.75</v>
      </c>
      <c r="AI71" s="19">
        <f>IF('امتیاز دهی خبرگان'!$M71=0,0,IF('امتیاز دهی خبرگان'!$M71=1,'طیف فازی'!$D$2,IF('امتیاز دهی خبرگان'!$M71=2,'طیف فازی'!$D$3,IF('امتیاز دهی خبرگان'!$M71=3,'طیف فازی'!$D$4,IF('امتیاز دهی خبرگان'!$M71=4,'طیف فازی'!$D$5,'طیف فازی'!$D$6)))))</f>
        <v>1</v>
      </c>
      <c r="AJ71" s="17">
        <f>IF('امتیاز دهی خبرگان'!$N71=0,0,IF('امتیاز دهی خبرگان'!$N71=1,'طیف فازی'!$B$2,IF('امتیاز دهی خبرگان'!$N71=2,'طیف فازی'!$B$3,IF('امتیاز دهی خبرگان'!$N71=3,'طیف فازی'!$B$4,IF('امتیاز دهی خبرگان'!$N71=4,'طیف فازی'!$B$5,'طیف فازی'!$B$6)))))</f>
        <v>0.75</v>
      </c>
      <c r="AK71" s="18">
        <f>IF('امتیاز دهی خبرگان'!$N71=0,0,IF('امتیاز دهی خبرگان'!$N71=1,'طیف فازی'!$C$2,IF('امتیاز دهی خبرگان'!$N71=2,'طیف فازی'!$C$3,IF('امتیاز دهی خبرگان'!$N71=3,'طیف فازی'!$C$4,IF('امتیاز دهی خبرگان'!$N71=4,'طیف فازی'!$C$5,'طیف فازی'!$C$6)))))</f>
        <v>1</v>
      </c>
      <c r="AL71" s="19">
        <f>IF('امتیاز دهی خبرگان'!$N71=0,0,IF('امتیاز دهی خبرگان'!$N71=1,'طیف فازی'!$D$2,IF('امتیاز دهی خبرگان'!$N71=2,'طیف فازی'!$D$3,IF('امتیاز دهی خبرگان'!$N71=3,'طیف فازی'!$D$4,IF('امتیاز دهی خبرگان'!$N71=4,'طیف فازی'!$D$5,'طیف فازی'!$D$6)))))</f>
        <v>1</v>
      </c>
      <c r="AM71" s="23">
        <f t="shared" si="9"/>
        <v>6.25</v>
      </c>
      <c r="AN71" s="23">
        <f t="shared" si="10"/>
        <v>9.25</v>
      </c>
      <c r="AO71" s="24">
        <f t="shared" si="11"/>
        <v>11.25</v>
      </c>
      <c r="AP71" s="25">
        <f t="shared" si="12"/>
        <v>0.52083333333333337</v>
      </c>
      <c r="AQ71" s="23">
        <f t="shared" si="13"/>
        <v>0.77083333333333337</v>
      </c>
      <c r="AR71" s="24">
        <f t="shared" si="14"/>
        <v>0.9375</v>
      </c>
      <c r="AS71" s="24">
        <f t="shared" si="15"/>
        <v>0.74305555555555569</v>
      </c>
      <c r="AT71" s="24" t="str">
        <f t="shared" si="16"/>
        <v>Pass</v>
      </c>
    </row>
    <row r="72" spans="2:46" ht="23.25" customHeight="1" thickBot="1" x14ac:dyDescent="0.85">
      <c r="B72" s="2" t="s">
        <v>14</v>
      </c>
      <c r="C72" s="17">
        <f>IF('امتیاز دهی خبرگان'!$C72=0,0,IF('امتیاز دهی خبرگان'!$C72=1,'طیف فازی'!$B$2,IF('امتیاز دهی خبرگان'!$C72=2,'طیف فازی'!$B$3,IF('امتیاز دهی خبرگان'!$C72=3,'طیف فازی'!$B$4,IF('امتیاز دهی خبرگان'!$C72=4,'طیف فازی'!$B$5,'طیف فازی'!$B$6)))))</f>
        <v>0.75</v>
      </c>
      <c r="D72" s="18">
        <f>IF('امتیاز دهی خبرگان'!$C72=0,0,IF('امتیاز دهی خبرگان'!$C72=1,'طیف فازی'!$C$2,IF('امتیاز دهی خبرگان'!$C72=2,'طیف فازی'!$C$3,IF('امتیاز دهی خبرگان'!$C72=3,'طیف فازی'!$C$4,IF('امتیاز دهی خبرگان'!$C72=4,'طیف فازی'!$C$5,'طیف فازی'!$C$6)))))</f>
        <v>1</v>
      </c>
      <c r="E72" s="19">
        <f>IF('امتیاز دهی خبرگان'!$C72=0,0,IF('امتیاز دهی خبرگان'!$C72=1,'طیف فازی'!$D$2,IF('امتیاز دهی خبرگان'!$C72=2,'طیف فازی'!$D$3,IF('امتیاز دهی خبرگان'!$C72=3,'طیف فازی'!$D$4,IF('امتیاز دهی خبرگان'!$C72=4,'طیف فازی'!$D$5,'طیف فازی'!$D$6)))))</f>
        <v>1</v>
      </c>
      <c r="F72" s="20">
        <f>IF('امتیاز دهی خبرگان'!$D72=0,0,IF('امتیاز دهی خبرگان'!$D72=1,'طیف فازی'!$B$2,IF('امتیاز دهی خبرگان'!$D72=2,'طیف فازی'!$B$3,IF('امتیاز دهی خبرگان'!$D72=3,'طیف فازی'!$B$4,IF('امتیاز دهی خبرگان'!$D72=4,'طیف فازی'!$B$5,'طیف فازی'!$B$6)))))</f>
        <v>0.25</v>
      </c>
      <c r="G72" s="21">
        <f>IF('امتیاز دهی خبرگان'!$D72=0,0,IF('امتیاز دهی خبرگان'!$D72=1,'طیف فازی'!$D$2,IF('امتیاز دهی خبرگان'!$D72=2,'طیف فازی'!$C$3,IF('امتیاز دهی خبرگان'!$D72=3,'طیف فازی'!$C$4,IF('امتیاز دهی خبرگان'!$D72=4,'طیف فازی'!$C$5,'طیف فازی'!$C$6)))))</f>
        <v>0.5</v>
      </c>
      <c r="H72" s="22">
        <f>IF('امتیاز دهی خبرگان'!$D72=0,0,IF('امتیاز دهی خبرگان'!$D72=1,'طیف فازی'!$D$2,IF('امتیاز دهی خبرگان'!$D72=2,'طیف فازی'!$D$3,IF('امتیاز دهی خبرگان'!$D72=3,'طیف فازی'!$D$4,IF('امتیاز دهی خبرگان'!$D72=4,'طیف فازی'!$D$5,'طیف فازی'!$D$6)))))</f>
        <v>0.75</v>
      </c>
      <c r="I72" s="17">
        <f>IF('امتیاز دهی خبرگان'!$E72=0,0,IF('امتیاز دهی خبرگان'!$E72=1,'طیف فازی'!$B$2,IF('امتیاز دهی خبرگان'!$E72=2,'طیف فازی'!$B$3,IF('امتیاز دهی خبرگان'!$E72=3,'طیف فازی'!$B$4,IF('امتیاز دهی خبرگان'!$E72=4,'طیف فازی'!$B$5,'طیف فازی'!$B$6)))))</f>
        <v>0</v>
      </c>
      <c r="J72" s="18">
        <f>IF('امتیاز دهی خبرگان'!$E72=0,0,IF('امتیاز دهی خبرگان'!$E72=1,'طیف فازی'!$C$2,IF('امتیاز دهی خبرگان'!$E72=2,'طیف فازی'!$C$3,IF('امتیاز دهی خبرگان'!$E72=3,'طیف فازی'!$C$4,IF('امتیاز دهی خبرگان'!$E72=4,'طیف فازی'!$C$5,'طیف فازی'!$C$6)))))</f>
        <v>0.25</v>
      </c>
      <c r="K72" s="19">
        <f>IF('امتیاز دهی خبرگان'!$E72=0,0,IF('امتیاز دهی خبرگان'!$E72=1,'طیف فازی'!$D$2,IF('امتیاز دهی خبرگان'!$E72=2,'طیف فازی'!$D$3,IF('امتیاز دهی خبرگان'!$E72=3,'طیف فازی'!$D$4,IF('امتیاز دهی خبرگان'!$E72=4,'طیف فازی'!$D$5,'طیف فازی'!$D$6)))))</f>
        <v>0.5</v>
      </c>
      <c r="L72" s="17">
        <f>IF('امتیاز دهی خبرگان'!$F72=0,0,IF('امتیاز دهی خبرگان'!$F72=1,'طیف فازی'!$B$2,IF('امتیاز دهی خبرگان'!$F72=2,'طیف فازی'!$B$3,IF('امتیاز دهی خبرگان'!$F72=3,'طیف فازی'!$B$4,IF('امتیاز دهی خبرگان'!$F72=4,'طیف فازی'!$B$5,'طیف فازی'!$B$6)))))</f>
        <v>0.75</v>
      </c>
      <c r="M72" s="18">
        <f>IF('امتیاز دهی خبرگان'!$F72=0,0,IF('امتیاز دهی خبرگان'!$F72=1,'طیف فازی'!$C$2,IF('امتیاز دهی خبرگان'!$F72=2,'طیف فازی'!$C$3,IF('امتیاز دهی خبرگان'!$F72=3,'طیف فازی'!$C$4,IF('امتیاز دهی خبرگان'!$F72=4,'طیف فازی'!$C$5,'طیف فازی'!$C$6)))))</f>
        <v>1</v>
      </c>
      <c r="N72" s="19">
        <f>IF('امتیاز دهی خبرگان'!$F72=0,0,IF('امتیاز دهی خبرگان'!$F72=1,'طیف فازی'!$D$2,IF('امتیاز دهی خبرگان'!$F72=2,'طیف فازی'!$D$3,IF('امتیاز دهی خبرگان'!$F72=3,'طیف فازی'!$D$4,IF('امتیاز دهی خبرگان'!$F72=4,'طیف فازی'!$D$5,'طیف فازی'!$D$6)))))</f>
        <v>1</v>
      </c>
      <c r="O72" s="17">
        <f>IF('امتیاز دهی خبرگان'!$G72=0,0,IF('امتیاز دهی خبرگان'!$G72=1,'طیف فازی'!$B$2,IF('امتیاز دهی خبرگان'!$G72=2,'طیف فازی'!$B$3,IF('امتیاز دهی خبرگان'!$G72=3,'طیف فازی'!$B$4,IF('امتیاز دهی خبرگان'!$G72=4,'طیف فازی'!$B$5,'طیف فازی'!$B$6)))))</f>
        <v>0.25</v>
      </c>
      <c r="P72" s="18">
        <f>IF('امتیاز دهی خبرگان'!$G72=0,0,IF('امتیاز دهی خبرگان'!$G72=1,'طیف فازی'!$C$2,IF('امتیاز دهی خبرگان'!$G72=2,'طیف فازی'!$C$3,IF('امتیاز دهی خبرگان'!$G72=3,'طیف فازی'!$C$4,IF('امتیاز دهی خبرگان'!$G72=4,'طیف فازی'!$C$5,'طیف فازی'!$C$6)))))</f>
        <v>0.5</v>
      </c>
      <c r="Q72" s="19">
        <f>IF('امتیاز دهی خبرگان'!$G72=0,0,IF('امتیاز دهی خبرگان'!$G72=1,'طیف فازی'!$D$2,IF('امتیاز دهی خبرگان'!$G72=2,'طیف فازی'!$D$3,IF('امتیاز دهی خبرگان'!$G72=3,'طیف فازی'!$D$4,IF('امتیاز دهی خبرگان'!$G72=4,'طیف فازی'!$D$5,'طیف فازی'!$D$6)))))</f>
        <v>0.75</v>
      </c>
      <c r="R72" s="17">
        <f>IF('امتیاز دهی خبرگان'!$H72=0,0,IF('امتیاز دهی خبرگان'!$H72=1,'طیف فازی'!$B$2,IF('امتیاز دهی خبرگان'!$H72=2,'طیف فازی'!$B$3,IF('امتیاز دهی خبرگان'!$H72=3,'طیف فازی'!$B$4,IF('امتیاز دهی خبرگان'!$H72=4,'طیف فازی'!$B$5,'طیف فازی'!$B$6)))))</f>
        <v>0</v>
      </c>
      <c r="S72" s="18">
        <f>IF('امتیاز دهی خبرگان'!$H72=0,0,IF('امتیاز دهی خبرگان'!$H72=1,'طیف فازی'!$C$2,IF('امتیاز دهی خبرگان'!$H72=2,'طیف فازی'!$C$3,IF('امتیاز دهی خبرگان'!$H72=3,'طیف فازی'!$C$4,IF('امتیاز دهی خبرگان'!$H72=4,'طیف فازی'!$C$5,'طیف فازی'!$C$6)))))</f>
        <v>0</v>
      </c>
      <c r="T72" s="19">
        <f>IF('امتیاز دهی خبرگان'!$H72=0,0,IF('امتیاز دهی خبرگان'!$H72=1,'طیف فازی'!$D$2,IF('امتیاز دهی خبرگان'!$H72=2,'طیف فازی'!$D$3,IF('امتیاز دهی خبرگان'!$H72=3,'طیف فازی'!$D$4,IF('امتیاز دهی خبرگان'!$H72=4,'طیف فازی'!$D$5,'طیف فازی'!$D$6)))))</f>
        <v>0.25</v>
      </c>
      <c r="U72" s="17">
        <f>IF('امتیاز دهی خبرگان'!$I72=0,0,IF('امتیاز دهی خبرگان'!$I72=1,'طیف فازی'!$B$2,IF('امتیاز دهی خبرگان'!$I72=2,'طیف فازی'!$B$3,IF('امتیاز دهی خبرگان'!$I72=3,'طیف فازی'!$B$4,IF('امتیاز دهی خبرگان'!$I72=4,'طیف فازی'!$B$5,'طیف فازی'!$B$6)))))</f>
        <v>0.5</v>
      </c>
      <c r="V72" s="18">
        <f>IF('امتیاز دهی خبرگان'!$I72=0,0,IF('امتیاز دهی خبرگان'!$I72=1,'طیف فازی'!$C$2,IF('امتیاز دهی خبرگان'!$I72=2,'طیف فازی'!$C$3,IF('امتیاز دهی خبرگان'!$I72=3,'طیف فازی'!$C$4,IF('امتیاز دهی خبرگان'!$I72=4,'طیف فازی'!$C$5,'طیف فازی'!$C$6)))))</f>
        <v>0.75</v>
      </c>
      <c r="W72" s="19">
        <f>IF('امتیاز دهی خبرگان'!$I72=0,0,IF('امتیاز دهی خبرگان'!$I72=1,'طیف فازی'!$D$2,IF('امتیاز دهی خبرگان'!$I72=2,'طیف فازی'!$D$3,IF('امتیاز دهی خبرگان'!$I72=3,'طیف فازی'!$D$4,IF('امتیاز دهی خبرگان'!$I72=4,'طیف فازی'!$D$5,'طیف فازی'!$D$6)))))</f>
        <v>1</v>
      </c>
      <c r="X72" s="17">
        <f>IF('امتیاز دهی خبرگان'!$J72=0,0,IF('امتیاز دهی خبرگان'!$J72=1,'طیف فازی'!$B$2,IF('امتیاز دهی خبرگان'!$J72=2,'طیف فازی'!$B$3,IF('امتیاز دهی خبرگان'!$J72=3,'طیف فازی'!$B$4,IF('امتیاز دهی خبرگان'!$J72=4,'طیف فازی'!$B$5,'طیف فازی'!$B$6)))))</f>
        <v>0.25</v>
      </c>
      <c r="Y72" s="18">
        <f>IF('امتیاز دهی خبرگان'!$J72=0,0,IF('امتیاز دهی خبرگان'!$J72=1,'طیف فازی'!$C$2,IF('امتیاز دهی خبرگان'!$J72=2,'طیف فازی'!$C$3,IF('امتیاز دهی خبرگان'!$J72=3,'طیف فازی'!$C$4,IF('امتیاز دهی خبرگان'!$J72=4,'طیف فازی'!$C$5,'طیف فازی'!$C$6)))))</f>
        <v>0.5</v>
      </c>
      <c r="Z72" s="19">
        <f>IF('امتیاز دهی خبرگان'!$J72=0,0,IF('امتیاز دهی خبرگان'!$J72=1,'طیف فازی'!$D$2,IF('امتیاز دهی خبرگان'!$J72=2,'طیف فازی'!$D$3,IF('امتیاز دهی خبرگان'!$J72=3,'طیف فازی'!$D$4,IF('امتیاز دهی خبرگان'!$J72=4,'طیف فازی'!$D$5,'طیف فازی'!$D$6)))))</f>
        <v>0.75</v>
      </c>
      <c r="AA72" s="17">
        <f>IF('امتیاز دهی خبرگان'!$K72=0,0,IF('امتیاز دهی خبرگان'!$K72=1,'طیف فازی'!$B$2,IF('امتیاز دهی خبرگان'!$K72=2,'طیف فازی'!$B$3,IF('امتیاز دهی خبرگان'!$K72=3,'طیف فازی'!$B$4,IF('امتیاز دهی خبرگان'!$K72=4,'طیف فازی'!$B$5,'طیف فازی'!$B$6)))))</f>
        <v>0.75</v>
      </c>
      <c r="AB72" s="18">
        <f>IF('امتیاز دهی خبرگان'!$K72=0,0,IF('امتیاز دهی خبرگان'!$K72=1,'طیف فازی'!$C$2,IF('امتیاز دهی خبرگان'!$K72=2,'طیف فازی'!$C$3,IF('امتیاز دهی خبرگان'!$K72=3,'طیف فازی'!$C$4,IF('امتیاز دهی خبرگان'!$K72=4,'طیف فازی'!$C$5,'طیف فازی'!$C$6)))))</f>
        <v>1</v>
      </c>
      <c r="AC72" s="19">
        <f>IF('امتیاز دهی خبرگان'!$K72=0,0,IF('امتیاز دهی خبرگان'!$K72=1,'طیف فازی'!$D$2,IF('امتیاز دهی خبرگان'!$K72=2,'طیف فازی'!$D$3,IF('امتیاز دهی خبرگان'!$K72=3,'طیف فازی'!$D$4,IF('امتیاز دهی خبرگان'!$K72=4,'طیف فازی'!$D$5,'طیف فازی'!$D$6)))))</f>
        <v>1</v>
      </c>
      <c r="AD72" s="17">
        <f>IF('امتیاز دهی خبرگان'!$L72=0,0,IF('امتیاز دهی خبرگان'!$L72=1,'طیف فازی'!$B$2,IF('امتیاز دهی خبرگان'!$L72=2,'طیف فازی'!$B$3,IF('امتیاز دهی خبرگان'!$L72=3,'طیف فازی'!$B$4,IF('امتیاز دهی خبرگان'!$L72=4,'طیف فازی'!$B$5,'طیف فازی'!$B$6)))))</f>
        <v>0</v>
      </c>
      <c r="AE72" s="18">
        <f>IF('امتیاز دهی خبرگان'!$L72=0,0,IF('امتیاز دهی خبرگان'!$L72=1,'طیف فازی'!$C$2,IF('امتیاز دهی خبرگان'!$L72=2,'طیف فازی'!$C$3,IF('امتیاز دهی خبرگان'!$L72=3,'طیف فازی'!$C$4,IF('امتیاز دهی خبرگان'!$L72=4,'طیف فازی'!$C$5,'طیف فازی'!$C$6)))))</f>
        <v>0.25</v>
      </c>
      <c r="AF72" s="19">
        <f>IF('امتیاز دهی خبرگان'!$L72=0,0,IF('امتیاز دهی خبرگان'!$L72=1,'طیف فازی'!$D$2,IF('امتیاز دهی خبرگان'!$L72=2,'طیف فازی'!$D$3,IF('امتیاز دهی خبرگان'!$L72=3,'طیف فازی'!$D$4,IF('امتیاز دهی خبرگان'!$L72=4,'طیف فازی'!$D$5,'طیف فازی'!$D$6)))))</f>
        <v>0.5</v>
      </c>
      <c r="AG72" s="17">
        <f>IF('امتیاز دهی خبرگان'!$M72=0,0,IF('امتیاز دهی خبرگان'!$M72=1,'طیف فازی'!$B$2,IF('امتیاز دهی خبرگان'!$M72=2,'طیف فازی'!$B$3,IF('امتیاز دهی خبرگان'!$M72=3,'طیف فازی'!$B$4,IF('امتیاز دهی خبرگان'!$M72=4,'طیف فازی'!$B$5,'طیف فازی'!$B$6)))))</f>
        <v>0.25</v>
      </c>
      <c r="AH72" s="18">
        <f>IF('امتیاز دهی خبرگان'!$M72=0,0,IF('امتیاز دهی خبرگان'!$M72=1,'طیف فازی'!$C$2,IF('امتیاز دهی خبرگان'!$M72=2,'طیف فازی'!$C$3,IF('امتیاز دهی خبرگان'!$M72=3,'طیف فازی'!$C$4,IF('امتیاز دهی خبرگان'!$M72=4,'طیف فازی'!$C$5,'طیف فازی'!$C$6)))))</f>
        <v>0.5</v>
      </c>
      <c r="AI72" s="19">
        <f>IF('امتیاز دهی خبرگان'!$M72=0,0,IF('امتیاز دهی خبرگان'!$M72=1,'طیف فازی'!$D$2,IF('امتیاز دهی خبرگان'!$M72=2,'طیف فازی'!$D$3,IF('امتیاز دهی خبرگان'!$M72=3,'طیف فازی'!$D$4,IF('امتیاز دهی خبرگان'!$M72=4,'طیف فازی'!$D$5,'طیف فازی'!$D$6)))))</f>
        <v>0.75</v>
      </c>
      <c r="AJ72" s="17">
        <f>IF('امتیاز دهی خبرگان'!$N72=0,0,IF('امتیاز دهی خبرگان'!$N72=1,'طیف فازی'!$B$2,IF('امتیاز دهی خبرگان'!$N72=2,'طیف فازی'!$B$3,IF('امتیاز دهی خبرگان'!$N72=3,'طیف فازی'!$B$4,IF('امتیاز دهی خبرگان'!$N72=4,'طیف فازی'!$B$5,'طیف فازی'!$B$6)))))</f>
        <v>0.75</v>
      </c>
      <c r="AK72" s="18">
        <f>IF('امتیاز دهی خبرگان'!$N72=0,0,IF('امتیاز دهی خبرگان'!$N72=1,'طیف فازی'!$C$2,IF('امتیاز دهی خبرگان'!$N72=2,'طیف فازی'!$C$3,IF('امتیاز دهی خبرگان'!$N72=3,'طیف فازی'!$C$4,IF('امتیاز دهی خبرگان'!$N72=4,'طیف فازی'!$C$5,'طیف فازی'!$C$6)))))</f>
        <v>1</v>
      </c>
      <c r="AL72" s="19">
        <f>IF('امتیاز دهی خبرگان'!$N72=0,0,IF('امتیاز دهی خبرگان'!$N72=1,'طیف فازی'!$D$2,IF('امتیاز دهی خبرگان'!$N72=2,'طیف فازی'!$D$3,IF('امتیاز دهی خبرگان'!$N72=3,'طیف فازی'!$D$4,IF('امتیاز دهی خبرگان'!$N72=4,'طیف فازی'!$D$5,'طیف فازی'!$D$6)))))</f>
        <v>1</v>
      </c>
      <c r="AM72" s="23">
        <f t="shared" si="9"/>
        <v>4.5</v>
      </c>
      <c r="AN72" s="23">
        <f t="shared" si="10"/>
        <v>7.25</v>
      </c>
      <c r="AO72" s="24">
        <f t="shared" si="11"/>
        <v>9.25</v>
      </c>
      <c r="AP72" s="25">
        <f t="shared" si="12"/>
        <v>0.375</v>
      </c>
      <c r="AQ72" s="23">
        <f t="shared" si="13"/>
        <v>0.60416666666666663</v>
      </c>
      <c r="AR72" s="24">
        <f t="shared" si="14"/>
        <v>0.77083333333333337</v>
      </c>
      <c r="AS72" s="24">
        <f t="shared" si="15"/>
        <v>0.58333333333333337</v>
      </c>
      <c r="AT72" s="24" t="str">
        <f t="shared" si="16"/>
        <v>Not Pass</v>
      </c>
    </row>
    <row r="73" spans="2:46" ht="23.25" customHeight="1" thickBot="1" x14ac:dyDescent="0.85">
      <c r="B73" s="2">
        <v>69</v>
      </c>
      <c r="C73" s="17">
        <f>IF('امتیاز دهی خبرگان'!$C73=0,0,IF('امتیاز دهی خبرگان'!$C73=1,'طیف فازی'!$B$2,IF('امتیاز دهی خبرگان'!$C73=2,'طیف فازی'!$B$3,IF('امتیاز دهی خبرگان'!$C73=3,'طیف فازی'!$B$4,IF('امتیاز دهی خبرگان'!$C73=4,'طیف فازی'!$B$5,'طیف فازی'!$B$6)))))</f>
        <v>0.75</v>
      </c>
      <c r="D73" s="18">
        <f>IF('امتیاز دهی خبرگان'!$C73=0,0,IF('امتیاز دهی خبرگان'!$C73=1,'طیف فازی'!$C$2,IF('امتیاز دهی خبرگان'!$C73=2,'طیف فازی'!$C$3,IF('امتیاز دهی خبرگان'!$C73=3,'طیف فازی'!$C$4,IF('امتیاز دهی خبرگان'!$C73=4,'طیف فازی'!$C$5,'طیف فازی'!$C$6)))))</f>
        <v>1</v>
      </c>
      <c r="E73" s="19">
        <f>IF('امتیاز دهی خبرگان'!$C73=0,0,IF('امتیاز دهی خبرگان'!$C73=1,'طیف فازی'!$D$2,IF('امتیاز دهی خبرگان'!$C73=2,'طیف فازی'!$D$3,IF('امتیاز دهی خبرگان'!$C73=3,'طیف فازی'!$D$4,IF('امتیاز دهی خبرگان'!$C73=4,'طیف فازی'!$D$5,'طیف فازی'!$D$6)))))</f>
        <v>1</v>
      </c>
      <c r="F73" s="20">
        <f>IF('امتیاز دهی خبرگان'!$D73=0,0,IF('امتیاز دهی خبرگان'!$D73=1,'طیف فازی'!$B$2,IF('امتیاز دهی خبرگان'!$D73=2,'طیف فازی'!$B$3,IF('امتیاز دهی خبرگان'!$D73=3,'طیف فازی'!$B$4,IF('امتیاز دهی خبرگان'!$D73=4,'طیف فازی'!$B$5,'طیف فازی'!$B$6)))))</f>
        <v>0.25</v>
      </c>
      <c r="G73" s="21">
        <f>IF('امتیاز دهی خبرگان'!$D73=0,0,IF('امتیاز دهی خبرگان'!$D73=1,'طیف فازی'!$D$2,IF('امتیاز دهی خبرگان'!$D73=2,'طیف فازی'!$C$3,IF('امتیاز دهی خبرگان'!$D73=3,'طیف فازی'!$C$4,IF('امتیاز دهی خبرگان'!$D73=4,'طیف فازی'!$C$5,'طیف فازی'!$C$6)))))</f>
        <v>0.5</v>
      </c>
      <c r="H73" s="22">
        <f>IF('امتیاز دهی خبرگان'!$D73=0,0,IF('امتیاز دهی خبرگان'!$D73=1,'طیف فازی'!$D$2,IF('امتیاز دهی خبرگان'!$D73=2,'طیف فازی'!$D$3,IF('امتیاز دهی خبرگان'!$D73=3,'طیف فازی'!$D$4,IF('امتیاز دهی خبرگان'!$D73=4,'طیف فازی'!$D$5,'طیف فازی'!$D$6)))))</f>
        <v>0.75</v>
      </c>
      <c r="I73" s="17">
        <f>IF('امتیاز دهی خبرگان'!$E73=0,0,IF('امتیاز دهی خبرگان'!$E73=1,'طیف فازی'!$B$2,IF('امتیاز دهی خبرگان'!$E73=2,'طیف فازی'!$B$3,IF('امتیاز دهی خبرگان'!$E73=3,'طیف فازی'!$B$4,IF('امتیاز دهی خبرگان'!$E73=4,'طیف فازی'!$B$5,'طیف فازی'!$B$6)))))</f>
        <v>0.75</v>
      </c>
      <c r="J73" s="18">
        <f>IF('امتیاز دهی خبرگان'!$E73=0,0,IF('امتیاز دهی خبرگان'!$E73=1,'طیف فازی'!$C$2,IF('امتیاز دهی خبرگان'!$E73=2,'طیف فازی'!$C$3,IF('امتیاز دهی خبرگان'!$E73=3,'طیف فازی'!$C$4,IF('امتیاز دهی خبرگان'!$E73=4,'طیف فازی'!$C$5,'طیف فازی'!$C$6)))))</f>
        <v>1</v>
      </c>
      <c r="K73" s="19">
        <f>IF('امتیاز دهی خبرگان'!$E73=0,0,IF('امتیاز دهی خبرگان'!$E73=1,'طیف فازی'!$D$2,IF('امتیاز دهی خبرگان'!$E73=2,'طیف فازی'!$D$3,IF('امتیاز دهی خبرگان'!$E73=3,'طیف فازی'!$D$4,IF('امتیاز دهی خبرگان'!$E73=4,'طیف فازی'!$D$5,'طیف فازی'!$D$6)))))</f>
        <v>1</v>
      </c>
      <c r="L73" s="17">
        <f>IF('امتیاز دهی خبرگان'!$F73=0,0,IF('امتیاز دهی خبرگان'!$F73=1,'طیف فازی'!$B$2,IF('امتیاز دهی خبرگان'!$F73=2,'طیف فازی'!$B$3,IF('امتیاز دهی خبرگان'!$F73=3,'طیف فازی'!$B$4,IF('امتیاز دهی خبرگان'!$F73=4,'طیف فازی'!$B$5,'طیف فازی'!$B$6)))))</f>
        <v>0.75</v>
      </c>
      <c r="M73" s="18">
        <f>IF('امتیاز دهی خبرگان'!$F73=0,0,IF('امتیاز دهی خبرگان'!$F73=1,'طیف فازی'!$C$2,IF('امتیاز دهی خبرگان'!$F73=2,'طیف فازی'!$C$3,IF('امتیاز دهی خبرگان'!$F73=3,'طیف فازی'!$C$4,IF('امتیاز دهی خبرگان'!$F73=4,'طیف فازی'!$C$5,'طیف فازی'!$C$6)))))</f>
        <v>1</v>
      </c>
      <c r="N73" s="19">
        <f>IF('امتیاز دهی خبرگان'!$F73=0,0,IF('امتیاز دهی خبرگان'!$F73=1,'طیف فازی'!$D$2,IF('امتیاز دهی خبرگان'!$F73=2,'طیف فازی'!$D$3,IF('امتیاز دهی خبرگان'!$F73=3,'طیف فازی'!$D$4,IF('امتیاز دهی خبرگان'!$F73=4,'طیف فازی'!$D$5,'طیف فازی'!$D$6)))))</f>
        <v>1</v>
      </c>
      <c r="O73" s="17">
        <f>IF('امتیاز دهی خبرگان'!$G73=0,0,IF('امتیاز دهی خبرگان'!$G73=1,'طیف فازی'!$B$2,IF('امتیاز دهی خبرگان'!$G73=2,'طیف فازی'!$B$3,IF('امتیاز دهی خبرگان'!$G73=3,'طیف فازی'!$B$4,IF('امتیاز دهی خبرگان'!$G73=4,'طیف فازی'!$B$5,'طیف فازی'!$B$6)))))</f>
        <v>0.5</v>
      </c>
      <c r="P73" s="18">
        <f>IF('امتیاز دهی خبرگان'!$G73=0,0,IF('امتیاز دهی خبرگان'!$G73=1,'طیف فازی'!$C$2,IF('امتیاز دهی خبرگان'!$G73=2,'طیف فازی'!$C$3,IF('امتیاز دهی خبرگان'!$G73=3,'طیف فازی'!$C$4,IF('امتیاز دهی خبرگان'!$G73=4,'طیف فازی'!$C$5,'طیف فازی'!$C$6)))))</f>
        <v>0.75</v>
      </c>
      <c r="Q73" s="19">
        <f>IF('امتیاز دهی خبرگان'!$G73=0,0,IF('امتیاز دهی خبرگان'!$G73=1,'طیف فازی'!$D$2,IF('امتیاز دهی خبرگان'!$G73=2,'طیف فازی'!$D$3,IF('امتیاز دهی خبرگان'!$G73=3,'طیف فازی'!$D$4,IF('امتیاز دهی خبرگان'!$G73=4,'طیف فازی'!$D$5,'طیف فازی'!$D$6)))))</f>
        <v>1</v>
      </c>
      <c r="R73" s="17">
        <f>IF('امتیاز دهی خبرگان'!$H73=0,0,IF('امتیاز دهی خبرگان'!$H73=1,'طیف فازی'!$B$2,IF('امتیاز دهی خبرگان'!$H73=2,'طیف فازی'!$B$3,IF('امتیاز دهی خبرگان'!$H73=3,'طیف فازی'!$B$4,IF('امتیاز دهی خبرگان'!$H73=4,'طیف فازی'!$B$5,'طیف فازی'!$B$6)))))</f>
        <v>0.25</v>
      </c>
      <c r="S73" s="18">
        <f>IF('امتیاز دهی خبرگان'!$H73=0,0,IF('امتیاز دهی خبرگان'!$H73=1,'طیف فازی'!$C$2,IF('امتیاز دهی خبرگان'!$H73=2,'طیف فازی'!$C$3,IF('امتیاز دهی خبرگان'!$H73=3,'طیف فازی'!$C$4,IF('امتیاز دهی خبرگان'!$H73=4,'طیف فازی'!$C$5,'طیف فازی'!$C$6)))))</f>
        <v>0.5</v>
      </c>
      <c r="T73" s="19">
        <f>IF('امتیاز دهی خبرگان'!$H73=0,0,IF('امتیاز دهی خبرگان'!$H73=1,'طیف فازی'!$D$2,IF('امتیاز دهی خبرگان'!$H73=2,'طیف فازی'!$D$3,IF('امتیاز دهی خبرگان'!$H73=3,'طیف فازی'!$D$4,IF('امتیاز دهی خبرگان'!$H73=4,'طیف فازی'!$D$5,'طیف فازی'!$D$6)))))</f>
        <v>0.75</v>
      </c>
      <c r="U73" s="17">
        <f>IF('امتیاز دهی خبرگان'!$I73=0,0,IF('امتیاز دهی خبرگان'!$I73=1,'طیف فازی'!$B$2,IF('امتیاز دهی خبرگان'!$I73=2,'طیف فازی'!$B$3,IF('امتیاز دهی خبرگان'!$I73=3,'طیف فازی'!$B$4,IF('امتیاز دهی خبرگان'!$I73=4,'طیف فازی'!$B$5,'طیف فازی'!$B$6)))))</f>
        <v>0.75</v>
      </c>
      <c r="V73" s="18">
        <f>IF('امتیاز دهی خبرگان'!$I73=0,0,IF('امتیاز دهی خبرگان'!$I73=1,'طیف فازی'!$C$2,IF('امتیاز دهی خبرگان'!$I73=2,'طیف فازی'!$C$3,IF('امتیاز دهی خبرگان'!$I73=3,'طیف فازی'!$C$4,IF('امتیاز دهی خبرگان'!$I73=4,'طیف فازی'!$C$5,'طیف فازی'!$C$6)))))</f>
        <v>1</v>
      </c>
      <c r="W73" s="19">
        <f>IF('امتیاز دهی خبرگان'!$I73=0,0,IF('امتیاز دهی خبرگان'!$I73=1,'طیف فازی'!$D$2,IF('امتیاز دهی خبرگان'!$I73=2,'طیف فازی'!$D$3,IF('امتیاز دهی خبرگان'!$I73=3,'طیف فازی'!$D$4,IF('امتیاز دهی خبرگان'!$I73=4,'طیف فازی'!$D$5,'طیف فازی'!$D$6)))))</f>
        <v>1</v>
      </c>
      <c r="X73" s="17">
        <f>IF('امتیاز دهی خبرگان'!$J73=0,0,IF('امتیاز دهی خبرگان'!$J73=1,'طیف فازی'!$B$2,IF('امتیاز دهی خبرگان'!$J73=2,'طیف فازی'!$B$3,IF('امتیاز دهی خبرگان'!$J73=3,'طیف فازی'!$B$4,IF('امتیاز دهی خبرگان'!$J73=4,'طیف فازی'!$B$5,'طیف فازی'!$B$6)))))</f>
        <v>0.25</v>
      </c>
      <c r="Y73" s="18">
        <f>IF('امتیاز دهی خبرگان'!$J73=0,0,IF('امتیاز دهی خبرگان'!$J73=1,'طیف فازی'!$C$2,IF('امتیاز دهی خبرگان'!$J73=2,'طیف فازی'!$C$3,IF('امتیاز دهی خبرگان'!$J73=3,'طیف فازی'!$C$4,IF('امتیاز دهی خبرگان'!$J73=4,'طیف فازی'!$C$5,'طیف فازی'!$C$6)))))</f>
        <v>0.5</v>
      </c>
      <c r="Z73" s="19">
        <f>IF('امتیاز دهی خبرگان'!$J73=0,0,IF('امتیاز دهی خبرگان'!$J73=1,'طیف فازی'!$D$2,IF('امتیاز دهی خبرگان'!$J73=2,'طیف فازی'!$D$3,IF('امتیاز دهی خبرگان'!$J73=3,'طیف فازی'!$D$4,IF('امتیاز دهی خبرگان'!$J73=4,'طیف فازی'!$D$5,'طیف فازی'!$D$6)))))</f>
        <v>0.75</v>
      </c>
      <c r="AA73" s="17">
        <f>IF('امتیاز دهی خبرگان'!$K73=0,0,IF('امتیاز دهی خبرگان'!$K73=1,'طیف فازی'!$B$2,IF('امتیاز دهی خبرگان'!$K73=2,'طیف فازی'!$B$3,IF('امتیاز دهی خبرگان'!$K73=3,'طیف فازی'!$B$4,IF('امتیاز دهی خبرگان'!$K73=4,'طیف فازی'!$B$5,'طیف فازی'!$B$6)))))</f>
        <v>0.5</v>
      </c>
      <c r="AB73" s="18">
        <f>IF('امتیاز دهی خبرگان'!$K73=0,0,IF('امتیاز دهی خبرگان'!$K73=1,'طیف فازی'!$C$2,IF('امتیاز دهی خبرگان'!$K73=2,'طیف فازی'!$C$3,IF('امتیاز دهی خبرگان'!$K73=3,'طیف فازی'!$C$4,IF('امتیاز دهی خبرگان'!$K73=4,'طیف فازی'!$C$5,'طیف فازی'!$C$6)))))</f>
        <v>0.75</v>
      </c>
      <c r="AC73" s="19">
        <f>IF('امتیاز دهی خبرگان'!$K73=0,0,IF('امتیاز دهی خبرگان'!$K73=1,'طیف فازی'!$D$2,IF('امتیاز دهی خبرگان'!$K73=2,'طیف فازی'!$D$3,IF('امتیاز دهی خبرگان'!$K73=3,'طیف فازی'!$D$4,IF('امتیاز دهی خبرگان'!$K73=4,'طیف فازی'!$D$5,'طیف فازی'!$D$6)))))</f>
        <v>1</v>
      </c>
      <c r="AD73" s="17">
        <f>IF('امتیاز دهی خبرگان'!$L73=0,0,IF('امتیاز دهی خبرگان'!$L73=1,'طیف فازی'!$B$2,IF('امتیاز دهی خبرگان'!$L73=2,'طیف فازی'!$B$3,IF('امتیاز دهی خبرگان'!$L73=3,'طیف فازی'!$B$4,IF('امتیاز دهی خبرگان'!$L73=4,'طیف فازی'!$B$5,'طیف فازی'!$B$6)))))</f>
        <v>0.5</v>
      </c>
      <c r="AE73" s="18">
        <f>IF('امتیاز دهی خبرگان'!$L73=0,0,IF('امتیاز دهی خبرگان'!$L73=1,'طیف فازی'!$C$2,IF('امتیاز دهی خبرگان'!$L73=2,'طیف فازی'!$C$3,IF('امتیاز دهی خبرگان'!$L73=3,'طیف فازی'!$C$4,IF('امتیاز دهی خبرگان'!$L73=4,'طیف فازی'!$C$5,'طیف فازی'!$C$6)))))</f>
        <v>0.75</v>
      </c>
      <c r="AF73" s="19">
        <f>IF('امتیاز دهی خبرگان'!$L73=0,0,IF('امتیاز دهی خبرگان'!$L73=1,'طیف فازی'!$D$2,IF('امتیاز دهی خبرگان'!$L73=2,'طیف فازی'!$D$3,IF('امتیاز دهی خبرگان'!$L73=3,'طیف فازی'!$D$4,IF('امتیاز دهی خبرگان'!$L73=4,'طیف فازی'!$D$5,'طیف فازی'!$D$6)))))</f>
        <v>1</v>
      </c>
      <c r="AG73" s="17">
        <f>IF('امتیاز دهی خبرگان'!$M73=0,0,IF('امتیاز دهی خبرگان'!$M73=1,'طیف فازی'!$B$2,IF('امتیاز دهی خبرگان'!$M73=2,'طیف فازی'!$B$3,IF('امتیاز دهی خبرگان'!$M73=3,'طیف فازی'!$B$4,IF('امتیاز دهی خبرگان'!$M73=4,'طیف فازی'!$B$5,'طیف فازی'!$B$6)))))</f>
        <v>0.5</v>
      </c>
      <c r="AH73" s="18">
        <f>IF('امتیاز دهی خبرگان'!$M73=0,0,IF('امتیاز دهی خبرگان'!$M73=1,'طیف فازی'!$C$2,IF('امتیاز دهی خبرگان'!$M73=2,'طیف فازی'!$C$3,IF('امتیاز دهی خبرگان'!$M73=3,'طیف فازی'!$C$4,IF('امتیاز دهی خبرگان'!$M73=4,'طیف فازی'!$C$5,'طیف فازی'!$C$6)))))</f>
        <v>0.75</v>
      </c>
      <c r="AI73" s="19">
        <f>IF('امتیاز دهی خبرگان'!$M73=0,0,IF('امتیاز دهی خبرگان'!$M73=1,'طیف فازی'!$D$2,IF('امتیاز دهی خبرگان'!$M73=2,'طیف فازی'!$D$3,IF('امتیاز دهی خبرگان'!$M73=3,'طیف فازی'!$D$4,IF('امتیاز دهی خبرگان'!$M73=4,'طیف فازی'!$D$5,'طیف فازی'!$D$6)))))</f>
        <v>1</v>
      </c>
      <c r="AJ73" s="17">
        <f>IF('امتیاز دهی خبرگان'!$N73=0,0,IF('امتیاز دهی خبرگان'!$N73=1,'طیف فازی'!$B$2,IF('امتیاز دهی خبرگان'!$N73=2,'طیف فازی'!$B$3,IF('امتیاز دهی خبرگان'!$N73=3,'طیف فازی'!$B$4,IF('امتیاز دهی خبرگان'!$N73=4,'طیف فازی'!$B$5,'طیف فازی'!$B$6)))))</f>
        <v>0.5</v>
      </c>
      <c r="AK73" s="18">
        <f>IF('امتیاز دهی خبرگان'!$N73=0,0,IF('امتیاز دهی خبرگان'!$N73=1,'طیف فازی'!$C$2,IF('امتیاز دهی خبرگان'!$N73=2,'طیف فازی'!$C$3,IF('امتیاز دهی خبرگان'!$N73=3,'طیف فازی'!$C$4,IF('امتیاز دهی خبرگان'!$N73=4,'طیف فازی'!$C$5,'طیف فازی'!$C$6)))))</f>
        <v>0.75</v>
      </c>
      <c r="AL73" s="19">
        <f>IF('امتیاز دهی خبرگان'!$N73=0,0,IF('امتیاز دهی خبرگان'!$N73=1,'طیف فازی'!$D$2,IF('امتیاز دهی خبرگان'!$N73=2,'طیف فازی'!$D$3,IF('امتیاز دهی خبرگان'!$N73=3,'طیف فازی'!$D$4,IF('امتیاز دهی خبرگان'!$N73=4,'طیف فازی'!$D$5,'طیف فازی'!$D$6)))))</f>
        <v>1</v>
      </c>
      <c r="AM73" s="23">
        <f t="shared" si="9"/>
        <v>6.25</v>
      </c>
      <c r="AN73" s="23">
        <f t="shared" si="10"/>
        <v>9.25</v>
      </c>
      <c r="AO73" s="24">
        <f t="shared" si="11"/>
        <v>11.25</v>
      </c>
      <c r="AP73" s="25">
        <f t="shared" si="12"/>
        <v>0.52083333333333337</v>
      </c>
      <c r="AQ73" s="23">
        <f t="shared" si="13"/>
        <v>0.77083333333333337</v>
      </c>
      <c r="AR73" s="24">
        <f t="shared" si="14"/>
        <v>0.9375</v>
      </c>
      <c r="AS73" s="24">
        <f t="shared" si="15"/>
        <v>0.74305555555555569</v>
      </c>
      <c r="AT73" s="24" t="str">
        <f t="shared" si="16"/>
        <v>Pass</v>
      </c>
    </row>
    <row r="74" spans="2:46" ht="23.25" customHeight="1" thickBot="1" x14ac:dyDescent="0.85">
      <c r="B74" s="2">
        <v>70</v>
      </c>
      <c r="C74" s="17">
        <f>IF('امتیاز دهی خبرگان'!$C74=0,0,IF('امتیاز دهی خبرگان'!$C74=1,'طیف فازی'!$B$2,IF('امتیاز دهی خبرگان'!$C74=2,'طیف فازی'!$B$3,IF('امتیاز دهی خبرگان'!$C74=3,'طیف فازی'!$B$4,IF('امتیاز دهی خبرگان'!$C74=4,'طیف فازی'!$B$5,'طیف فازی'!$B$6)))))</f>
        <v>0.75</v>
      </c>
      <c r="D74" s="18">
        <f>IF('امتیاز دهی خبرگان'!$C74=0,0,IF('امتیاز دهی خبرگان'!$C74=1,'طیف فازی'!$C$2,IF('امتیاز دهی خبرگان'!$C74=2,'طیف فازی'!$C$3,IF('امتیاز دهی خبرگان'!$C74=3,'طیف فازی'!$C$4,IF('امتیاز دهی خبرگان'!$C74=4,'طیف فازی'!$C$5,'طیف فازی'!$C$6)))))</f>
        <v>1</v>
      </c>
      <c r="E74" s="19">
        <f>IF('امتیاز دهی خبرگان'!$C74=0,0,IF('امتیاز دهی خبرگان'!$C74=1,'طیف فازی'!$D$2,IF('امتیاز دهی خبرگان'!$C74=2,'طیف فازی'!$D$3,IF('امتیاز دهی خبرگان'!$C74=3,'طیف فازی'!$D$4,IF('امتیاز دهی خبرگان'!$C74=4,'طیف فازی'!$D$5,'طیف فازی'!$D$6)))))</f>
        <v>1</v>
      </c>
      <c r="F74" s="20">
        <f>IF('امتیاز دهی خبرگان'!$D74=0,0,IF('امتیاز دهی خبرگان'!$D74=1,'طیف فازی'!$B$2,IF('امتیاز دهی خبرگان'!$D74=2,'طیف فازی'!$B$3,IF('امتیاز دهی خبرگان'!$D74=3,'طیف فازی'!$B$4,IF('امتیاز دهی خبرگان'!$D74=4,'طیف فازی'!$B$5,'طیف فازی'!$B$6)))))</f>
        <v>0.5</v>
      </c>
      <c r="G74" s="21">
        <f>IF('امتیاز دهی خبرگان'!$D74=0,0,IF('امتیاز دهی خبرگان'!$D74=1,'طیف فازی'!$D$2,IF('امتیاز دهی خبرگان'!$D74=2,'طیف فازی'!$C$3,IF('امتیاز دهی خبرگان'!$D74=3,'طیف فازی'!$C$4,IF('امتیاز دهی خبرگان'!$D74=4,'طیف فازی'!$C$5,'طیف فازی'!$C$6)))))</f>
        <v>0.75</v>
      </c>
      <c r="H74" s="22">
        <f>IF('امتیاز دهی خبرگان'!$D74=0,0,IF('امتیاز دهی خبرگان'!$D74=1,'طیف فازی'!$D$2,IF('امتیاز دهی خبرگان'!$D74=2,'طیف فازی'!$D$3,IF('امتیاز دهی خبرگان'!$D74=3,'طیف فازی'!$D$4,IF('امتیاز دهی خبرگان'!$D74=4,'طیف فازی'!$D$5,'طیف فازی'!$D$6)))))</f>
        <v>1</v>
      </c>
      <c r="I74" s="17">
        <f>IF('امتیاز دهی خبرگان'!$E74=0,0,IF('امتیاز دهی خبرگان'!$E74=1,'طیف فازی'!$B$2,IF('امتیاز دهی خبرگان'!$E74=2,'طیف فازی'!$B$3,IF('امتیاز دهی خبرگان'!$E74=3,'طیف فازی'!$B$4,IF('امتیاز دهی خبرگان'!$E74=4,'طیف فازی'!$B$5,'طیف فازی'!$B$6)))))</f>
        <v>0</v>
      </c>
      <c r="J74" s="18">
        <f>IF('امتیاز دهی خبرگان'!$E74=0,0,IF('امتیاز دهی خبرگان'!$E74=1,'طیف فازی'!$C$2,IF('امتیاز دهی خبرگان'!$E74=2,'طیف فازی'!$C$3,IF('امتیاز دهی خبرگان'!$E74=3,'طیف فازی'!$C$4,IF('امتیاز دهی خبرگان'!$E74=4,'طیف فازی'!$C$5,'طیف فازی'!$C$6)))))</f>
        <v>0</v>
      </c>
      <c r="K74" s="19">
        <f>IF('امتیاز دهی خبرگان'!$E74=0,0,IF('امتیاز دهی خبرگان'!$E74=1,'طیف فازی'!$D$2,IF('امتیاز دهی خبرگان'!$E74=2,'طیف فازی'!$D$3,IF('امتیاز دهی خبرگان'!$E74=3,'طیف فازی'!$D$4,IF('امتیاز دهی خبرگان'!$E74=4,'طیف فازی'!$D$5,'طیف فازی'!$D$6)))))</f>
        <v>0.25</v>
      </c>
      <c r="L74" s="17">
        <f>IF('امتیاز دهی خبرگان'!$F74=0,0,IF('امتیاز دهی خبرگان'!$F74=1,'طیف فازی'!$B$2,IF('امتیاز دهی خبرگان'!$F74=2,'طیف فازی'!$B$3,IF('امتیاز دهی خبرگان'!$F74=3,'طیف فازی'!$B$4,IF('امتیاز دهی خبرگان'!$F74=4,'طیف فازی'!$B$5,'طیف فازی'!$B$6)))))</f>
        <v>0.75</v>
      </c>
      <c r="M74" s="18">
        <f>IF('امتیاز دهی خبرگان'!$F74=0,0,IF('امتیاز دهی خبرگان'!$F74=1,'طیف فازی'!$C$2,IF('امتیاز دهی خبرگان'!$F74=2,'طیف فازی'!$C$3,IF('امتیاز دهی خبرگان'!$F74=3,'طیف فازی'!$C$4,IF('امتیاز دهی خبرگان'!$F74=4,'طیف فازی'!$C$5,'طیف فازی'!$C$6)))))</f>
        <v>1</v>
      </c>
      <c r="N74" s="19">
        <f>IF('امتیاز دهی خبرگان'!$F74=0,0,IF('امتیاز دهی خبرگان'!$F74=1,'طیف فازی'!$D$2,IF('امتیاز دهی خبرگان'!$F74=2,'طیف فازی'!$D$3,IF('امتیاز دهی خبرگان'!$F74=3,'طیف فازی'!$D$4,IF('امتیاز دهی خبرگان'!$F74=4,'طیف فازی'!$D$5,'طیف فازی'!$D$6)))))</f>
        <v>1</v>
      </c>
      <c r="O74" s="17">
        <f>IF('امتیاز دهی خبرگان'!$G74=0,0,IF('امتیاز دهی خبرگان'!$G74=1,'طیف فازی'!$B$2,IF('امتیاز دهی خبرگان'!$G74=2,'طیف فازی'!$B$3,IF('امتیاز دهی خبرگان'!$G74=3,'طیف فازی'!$B$4,IF('امتیاز دهی خبرگان'!$G74=4,'طیف فازی'!$B$5,'طیف فازی'!$B$6)))))</f>
        <v>0</v>
      </c>
      <c r="P74" s="18">
        <f>IF('امتیاز دهی خبرگان'!$G74=0,0,IF('امتیاز دهی خبرگان'!$G74=1,'طیف فازی'!$C$2,IF('امتیاز دهی خبرگان'!$G74=2,'طیف فازی'!$C$3,IF('امتیاز دهی خبرگان'!$G74=3,'طیف فازی'!$C$4,IF('امتیاز دهی خبرگان'!$G74=4,'طیف فازی'!$C$5,'طیف فازی'!$C$6)))))</f>
        <v>0.25</v>
      </c>
      <c r="Q74" s="19">
        <f>IF('امتیاز دهی خبرگان'!$G74=0,0,IF('امتیاز دهی خبرگان'!$G74=1,'طیف فازی'!$D$2,IF('امتیاز دهی خبرگان'!$G74=2,'طیف فازی'!$D$3,IF('امتیاز دهی خبرگان'!$G74=3,'طیف فازی'!$D$4,IF('امتیاز دهی خبرگان'!$G74=4,'طیف فازی'!$D$5,'طیف فازی'!$D$6)))))</f>
        <v>0.5</v>
      </c>
      <c r="R74" s="17">
        <f>IF('امتیاز دهی خبرگان'!$H74=0,0,IF('امتیاز دهی خبرگان'!$H74=1,'طیف فازی'!$B$2,IF('امتیاز دهی خبرگان'!$H74=2,'طیف فازی'!$B$3,IF('امتیاز دهی خبرگان'!$H74=3,'طیف فازی'!$B$4,IF('امتیاز دهی خبرگان'!$H74=4,'طیف فازی'!$B$5,'طیف فازی'!$B$6)))))</f>
        <v>0.75</v>
      </c>
      <c r="S74" s="18">
        <f>IF('امتیاز دهی خبرگان'!$H74=0,0,IF('امتیاز دهی خبرگان'!$H74=1,'طیف فازی'!$C$2,IF('امتیاز دهی خبرگان'!$H74=2,'طیف فازی'!$C$3,IF('امتیاز دهی خبرگان'!$H74=3,'طیف فازی'!$C$4,IF('امتیاز دهی خبرگان'!$H74=4,'طیف فازی'!$C$5,'طیف فازی'!$C$6)))))</f>
        <v>1</v>
      </c>
      <c r="T74" s="19">
        <f>IF('امتیاز دهی خبرگان'!$H74=0,0,IF('امتیاز دهی خبرگان'!$H74=1,'طیف فازی'!$D$2,IF('امتیاز دهی خبرگان'!$H74=2,'طیف فازی'!$D$3,IF('امتیاز دهی خبرگان'!$H74=3,'طیف فازی'!$D$4,IF('امتیاز دهی خبرگان'!$H74=4,'طیف فازی'!$D$5,'طیف فازی'!$D$6)))))</f>
        <v>1</v>
      </c>
      <c r="U74" s="17">
        <f>IF('امتیاز دهی خبرگان'!$I74=0,0,IF('امتیاز دهی خبرگان'!$I74=1,'طیف فازی'!$B$2,IF('امتیاز دهی خبرگان'!$I74=2,'طیف فازی'!$B$3,IF('امتیاز دهی خبرگان'!$I74=3,'طیف فازی'!$B$4,IF('امتیاز دهی خبرگان'!$I74=4,'طیف فازی'!$B$5,'طیف فازی'!$B$6)))))</f>
        <v>0.75</v>
      </c>
      <c r="V74" s="18">
        <f>IF('امتیاز دهی خبرگان'!$I74=0,0,IF('امتیاز دهی خبرگان'!$I74=1,'طیف فازی'!$C$2,IF('امتیاز دهی خبرگان'!$I74=2,'طیف فازی'!$C$3,IF('امتیاز دهی خبرگان'!$I74=3,'طیف فازی'!$C$4,IF('امتیاز دهی خبرگان'!$I74=4,'طیف فازی'!$C$5,'طیف فازی'!$C$6)))))</f>
        <v>1</v>
      </c>
      <c r="W74" s="19">
        <f>IF('امتیاز دهی خبرگان'!$I74=0,0,IF('امتیاز دهی خبرگان'!$I74=1,'طیف فازی'!$D$2,IF('امتیاز دهی خبرگان'!$I74=2,'طیف فازی'!$D$3,IF('امتیاز دهی خبرگان'!$I74=3,'طیف فازی'!$D$4,IF('امتیاز دهی خبرگان'!$I74=4,'طیف فازی'!$D$5,'طیف فازی'!$D$6)))))</f>
        <v>1</v>
      </c>
      <c r="X74" s="17">
        <f>IF('امتیاز دهی خبرگان'!$J74=0,0,IF('امتیاز دهی خبرگان'!$J74=1,'طیف فازی'!$B$2,IF('امتیاز دهی خبرگان'!$J74=2,'طیف فازی'!$B$3,IF('امتیاز دهی خبرگان'!$J74=3,'طیف فازی'!$B$4,IF('امتیاز دهی خبرگان'!$J74=4,'طیف فازی'!$B$5,'طیف فازی'!$B$6)))))</f>
        <v>0.75</v>
      </c>
      <c r="Y74" s="18">
        <f>IF('امتیاز دهی خبرگان'!$J74=0,0,IF('امتیاز دهی خبرگان'!$J74=1,'طیف فازی'!$C$2,IF('امتیاز دهی خبرگان'!$J74=2,'طیف فازی'!$C$3,IF('امتیاز دهی خبرگان'!$J74=3,'طیف فازی'!$C$4,IF('امتیاز دهی خبرگان'!$J74=4,'طیف فازی'!$C$5,'طیف فازی'!$C$6)))))</f>
        <v>1</v>
      </c>
      <c r="Z74" s="19">
        <f>IF('امتیاز دهی خبرگان'!$J74=0,0,IF('امتیاز دهی خبرگان'!$J74=1,'طیف فازی'!$D$2,IF('امتیاز دهی خبرگان'!$J74=2,'طیف فازی'!$D$3,IF('امتیاز دهی خبرگان'!$J74=3,'طیف فازی'!$D$4,IF('امتیاز دهی خبرگان'!$J74=4,'طیف فازی'!$D$5,'طیف فازی'!$D$6)))))</f>
        <v>1</v>
      </c>
      <c r="AA74" s="17">
        <f>IF('امتیاز دهی خبرگان'!$K74=0,0,IF('امتیاز دهی خبرگان'!$K74=1,'طیف فازی'!$B$2,IF('امتیاز دهی خبرگان'!$K74=2,'طیف فازی'!$B$3,IF('امتیاز دهی خبرگان'!$K74=3,'طیف فازی'!$B$4,IF('امتیاز دهی خبرگان'!$K74=4,'طیف فازی'!$B$5,'طیف فازی'!$B$6)))))</f>
        <v>0.75</v>
      </c>
      <c r="AB74" s="18">
        <f>IF('امتیاز دهی خبرگان'!$K74=0,0,IF('امتیاز دهی خبرگان'!$K74=1,'طیف فازی'!$C$2,IF('امتیاز دهی خبرگان'!$K74=2,'طیف فازی'!$C$3,IF('امتیاز دهی خبرگان'!$K74=3,'طیف فازی'!$C$4,IF('امتیاز دهی خبرگان'!$K74=4,'طیف فازی'!$C$5,'طیف فازی'!$C$6)))))</f>
        <v>1</v>
      </c>
      <c r="AC74" s="19">
        <f>IF('امتیاز دهی خبرگان'!$K74=0,0,IF('امتیاز دهی خبرگان'!$K74=1,'طیف فازی'!$D$2,IF('امتیاز دهی خبرگان'!$K74=2,'طیف فازی'!$D$3,IF('امتیاز دهی خبرگان'!$K74=3,'طیف فازی'!$D$4,IF('امتیاز دهی خبرگان'!$K74=4,'طیف فازی'!$D$5,'طیف فازی'!$D$6)))))</f>
        <v>1</v>
      </c>
      <c r="AD74" s="17">
        <f>IF('امتیاز دهی خبرگان'!$L74=0,0,IF('امتیاز دهی خبرگان'!$L74=1,'طیف فازی'!$B$2,IF('امتیاز دهی خبرگان'!$L74=2,'طیف فازی'!$B$3,IF('امتیاز دهی خبرگان'!$L74=3,'طیف فازی'!$B$4,IF('امتیاز دهی خبرگان'!$L74=4,'طیف فازی'!$B$5,'طیف فازی'!$B$6)))))</f>
        <v>0.75</v>
      </c>
      <c r="AE74" s="18">
        <f>IF('امتیاز دهی خبرگان'!$L74=0,0,IF('امتیاز دهی خبرگان'!$L74=1,'طیف فازی'!$C$2,IF('امتیاز دهی خبرگان'!$L74=2,'طیف فازی'!$C$3,IF('امتیاز دهی خبرگان'!$L74=3,'طیف فازی'!$C$4,IF('امتیاز دهی خبرگان'!$L74=4,'طیف فازی'!$C$5,'طیف فازی'!$C$6)))))</f>
        <v>1</v>
      </c>
      <c r="AF74" s="19">
        <f>IF('امتیاز دهی خبرگان'!$L74=0,0,IF('امتیاز دهی خبرگان'!$L74=1,'طیف فازی'!$D$2,IF('امتیاز دهی خبرگان'!$L74=2,'طیف فازی'!$D$3,IF('امتیاز دهی خبرگان'!$L74=3,'طیف فازی'!$D$4,IF('امتیاز دهی خبرگان'!$L74=4,'طیف فازی'!$D$5,'طیف فازی'!$D$6)))))</f>
        <v>1</v>
      </c>
      <c r="AG74" s="17">
        <f>IF('امتیاز دهی خبرگان'!$M74=0,0,IF('امتیاز دهی خبرگان'!$M74=1,'طیف فازی'!$B$2,IF('امتیاز دهی خبرگان'!$M74=2,'طیف فازی'!$B$3,IF('امتیاز دهی خبرگان'!$M74=3,'طیف فازی'!$B$4,IF('امتیاز دهی خبرگان'!$M74=4,'طیف فازی'!$B$5,'طیف فازی'!$B$6)))))</f>
        <v>0.5</v>
      </c>
      <c r="AH74" s="18">
        <f>IF('امتیاز دهی خبرگان'!$M74=0,0,IF('امتیاز دهی خبرگان'!$M74=1,'طیف فازی'!$C$2,IF('امتیاز دهی خبرگان'!$M74=2,'طیف فازی'!$C$3,IF('امتیاز دهی خبرگان'!$M74=3,'طیف فازی'!$C$4,IF('امتیاز دهی خبرگان'!$M74=4,'طیف فازی'!$C$5,'طیف فازی'!$C$6)))))</f>
        <v>0.75</v>
      </c>
      <c r="AI74" s="19">
        <f>IF('امتیاز دهی خبرگان'!$M74=0,0,IF('امتیاز دهی خبرگان'!$M74=1,'طیف فازی'!$D$2,IF('امتیاز دهی خبرگان'!$M74=2,'طیف فازی'!$D$3,IF('امتیاز دهی خبرگان'!$M74=3,'طیف فازی'!$D$4,IF('امتیاز دهی خبرگان'!$M74=4,'طیف فازی'!$D$5,'طیف فازی'!$D$6)))))</f>
        <v>1</v>
      </c>
      <c r="AJ74" s="17">
        <f>IF('امتیاز دهی خبرگان'!$N74=0,0,IF('امتیاز دهی خبرگان'!$N74=1,'طیف فازی'!$B$2,IF('امتیاز دهی خبرگان'!$N74=2,'طیف فازی'!$B$3,IF('امتیاز دهی خبرگان'!$N74=3,'طیف فازی'!$B$4,IF('امتیاز دهی خبرگان'!$N74=4,'طیف فازی'!$B$5,'طیف فازی'!$B$6)))))</f>
        <v>0.5</v>
      </c>
      <c r="AK74" s="18">
        <f>IF('امتیاز دهی خبرگان'!$N74=0,0,IF('امتیاز دهی خبرگان'!$N74=1,'طیف فازی'!$C$2,IF('امتیاز دهی خبرگان'!$N74=2,'طیف فازی'!$C$3,IF('امتیاز دهی خبرگان'!$N74=3,'طیف فازی'!$C$4,IF('امتیاز دهی خبرگان'!$N74=4,'طیف فازی'!$C$5,'طیف فازی'!$C$6)))))</f>
        <v>0.75</v>
      </c>
      <c r="AL74" s="19">
        <f>IF('امتیاز دهی خبرگان'!$N74=0,0,IF('امتیاز دهی خبرگان'!$N74=1,'طیف فازی'!$D$2,IF('امتیاز دهی خبرگان'!$N74=2,'طیف فازی'!$D$3,IF('امتیاز دهی خبرگان'!$N74=3,'طیف فازی'!$D$4,IF('امتیاز دهی خبرگان'!$N74=4,'طیف فازی'!$D$5,'طیف فازی'!$D$6)))))</f>
        <v>1</v>
      </c>
      <c r="AM74" s="23">
        <f t="shared" si="9"/>
        <v>6.75</v>
      </c>
      <c r="AN74" s="23">
        <f t="shared" si="10"/>
        <v>9.5</v>
      </c>
      <c r="AO74" s="24">
        <f t="shared" si="11"/>
        <v>10.75</v>
      </c>
      <c r="AP74" s="25">
        <f t="shared" si="12"/>
        <v>0.5625</v>
      </c>
      <c r="AQ74" s="23">
        <f t="shared" si="13"/>
        <v>0.79166666666666663</v>
      </c>
      <c r="AR74" s="24">
        <f t="shared" si="14"/>
        <v>0.89583333333333337</v>
      </c>
      <c r="AS74" s="24">
        <f t="shared" si="15"/>
        <v>0.75</v>
      </c>
      <c r="AT74" s="24" t="str">
        <f t="shared" si="16"/>
        <v>Pass</v>
      </c>
    </row>
    <row r="75" spans="2:46" ht="23.25" customHeight="1" thickBot="1" x14ac:dyDescent="0.85">
      <c r="B75" s="2">
        <v>71</v>
      </c>
      <c r="C75" s="17">
        <f>IF('امتیاز دهی خبرگان'!$C75=0,0,IF('امتیاز دهی خبرگان'!$C75=1,'طیف فازی'!$B$2,IF('امتیاز دهی خبرگان'!$C75=2,'طیف فازی'!$B$3,IF('امتیاز دهی خبرگان'!$C75=3,'طیف فازی'!$B$4,IF('امتیاز دهی خبرگان'!$C75=4,'طیف فازی'!$B$5,'طیف فازی'!$B$6)))))</f>
        <v>0.75</v>
      </c>
      <c r="D75" s="18">
        <f>IF('امتیاز دهی خبرگان'!$C75=0,0,IF('امتیاز دهی خبرگان'!$C75=1,'طیف فازی'!$C$2,IF('امتیاز دهی خبرگان'!$C75=2,'طیف فازی'!$C$3,IF('امتیاز دهی خبرگان'!$C75=3,'طیف فازی'!$C$4,IF('امتیاز دهی خبرگان'!$C75=4,'طیف فازی'!$C$5,'طیف فازی'!$C$6)))))</f>
        <v>1</v>
      </c>
      <c r="E75" s="19">
        <f>IF('امتیاز دهی خبرگان'!$C75=0,0,IF('امتیاز دهی خبرگان'!$C75=1,'طیف فازی'!$D$2,IF('امتیاز دهی خبرگان'!$C75=2,'طیف فازی'!$D$3,IF('امتیاز دهی خبرگان'!$C75=3,'طیف فازی'!$D$4,IF('امتیاز دهی خبرگان'!$C75=4,'طیف فازی'!$D$5,'طیف فازی'!$D$6)))))</f>
        <v>1</v>
      </c>
      <c r="F75" s="20">
        <f>IF('امتیاز دهی خبرگان'!$D75=0,0,IF('امتیاز دهی خبرگان'!$D75=1,'طیف فازی'!$B$2,IF('امتیاز دهی خبرگان'!$D75=2,'طیف فازی'!$B$3,IF('امتیاز دهی خبرگان'!$D75=3,'طیف فازی'!$B$4,IF('امتیاز دهی خبرگان'!$D75=4,'طیف فازی'!$B$5,'طیف فازی'!$B$6)))))</f>
        <v>0.25</v>
      </c>
      <c r="G75" s="21">
        <f>IF('امتیاز دهی خبرگان'!$D75=0,0,IF('امتیاز دهی خبرگان'!$D75=1,'طیف فازی'!$D$2,IF('امتیاز دهی خبرگان'!$D75=2,'طیف فازی'!$C$3,IF('امتیاز دهی خبرگان'!$D75=3,'طیف فازی'!$C$4,IF('امتیاز دهی خبرگان'!$D75=4,'طیف فازی'!$C$5,'طیف فازی'!$C$6)))))</f>
        <v>0.5</v>
      </c>
      <c r="H75" s="22">
        <f>IF('امتیاز دهی خبرگان'!$D75=0,0,IF('امتیاز دهی خبرگان'!$D75=1,'طیف فازی'!$D$2,IF('امتیاز دهی خبرگان'!$D75=2,'طیف فازی'!$D$3,IF('امتیاز دهی خبرگان'!$D75=3,'طیف فازی'!$D$4,IF('امتیاز دهی خبرگان'!$D75=4,'طیف فازی'!$D$5,'طیف فازی'!$D$6)))))</f>
        <v>0.75</v>
      </c>
      <c r="I75" s="17">
        <f>IF('امتیاز دهی خبرگان'!$E75=0,0,IF('امتیاز دهی خبرگان'!$E75=1,'طیف فازی'!$B$2,IF('امتیاز دهی خبرگان'!$E75=2,'طیف فازی'!$B$3,IF('امتیاز دهی خبرگان'!$E75=3,'طیف فازی'!$B$4,IF('امتیاز دهی خبرگان'!$E75=4,'طیف فازی'!$B$5,'طیف فازی'!$B$6)))))</f>
        <v>0</v>
      </c>
      <c r="J75" s="18">
        <f>IF('امتیاز دهی خبرگان'!$E75=0,0,IF('امتیاز دهی خبرگان'!$E75=1,'طیف فازی'!$C$2,IF('امتیاز دهی خبرگان'!$E75=2,'طیف فازی'!$C$3,IF('امتیاز دهی خبرگان'!$E75=3,'طیف فازی'!$C$4,IF('امتیاز دهی خبرگان'!$E75=4,'طیف فازی'!$C$5,'طیف فازی'!$C$6)))))</f>
        <v>0</v>
      </c>
      <c r="K75" s="19">
        <f>IF('امتیاز دهی خبرگان'!$E75=0,0,IF('امتیاز دهی خبرگان'!$E75=1,'طیف فازی'!$D$2,IF('امتیاز دهی خبرگان'!$E75=2,'طیف فازی'!$D$3,IF('امتیاز دهی خبرگان'!$E75=3,'طیف فازی'!$D$4,IF('امتیاز دهی خبرگان'!$E75=4,'طیف فازی'!$D$5,'طیف فازی'!$D$6)))))</f>
        <v>0.25</v>
      </c>
      <c r="L75" s="17">
        <f>IF('امتیاز دهی خبرگان'!$F75=0,0,IF('امتیاز دهی خبرگان'!$F75=1,'طیف فازی'!$B$2,IF('امتیاز دهی خبرگان'!$F75=2,'طیف فازی'!$B$3,IF('امتیاز دهی خبرگان'!$F75=3,'طیف فازی'!$B$4,IF('امتیاز دهی خبرگان'!$F75=4,'طیف فازی'!$B$5,'طیف فازی'!$B$6)))))</f>
        <v>0.75</v>
      </c>
      <c r="M75" s="18">
        <f>IF('امتیاز دهی خبرگان'!$F75=0,0,IF('امتیاز دهی خبرگان'!$F75=1,'طیف فازی'!$C$2,IF('امتیاز دهی خبرگان'!$F75=2,'طیف فازی'!$C$3,IF('امتیاز دهی خبرگان'!$F75=3,'طیف فازی'!$C$4,IF('امتیاز دهی خبرگان'!$F75=4,'طیف فازی'!$C$5,'طیف فازی'!$C$6)))))</f>
        <v>1</v>
      </c>
      <c r="N75" s="19">
        <f>IF('امتیاز دهی خبرگان'!$F75=0,0,IF('امتیاز دهی خبرگان'!$F75=1,'طیف فازی'!$D$2,IF('امتیاز دهی خبرگان'!$F75=2,'طیف فازی'!$D$3,IF('امتیاز دهی خبرگان'!$F75=3,'طیف فازی'!$D$4,IF('امتیاز دهی خبرگان'!$F75=4,'طیف فازی'!$D$5,'طیف فازی'!$D$6)))))</f>
        <v>1</v>
      </c>
      <c r="O75" s="17">
        <f>IF('امتیاز دهی خبرگان'!$G75=0,0,IF('امتیاز دهی خبرگان'!$G75=1,'طیف فازی'!$B$2,IF('امتیاز دهی خبرگان'!$G75=2,'طیف فازی'!$B$3,IF('امتیاز دهی خبرگان'!$G75=3,'طیف فازی'!$B$4,IF('امتیاز دهی خبرگان'!$G75=4,'طیف فازی'!$B$5,'طیف فازی'!$B$6)))))</f>
        <v>0</v>
      </c>
      <c r="P75" s="18">
        <f>IF('امتیاز دهی خبرگان'!$G75=0,0,IF('امتیاز دهی خبرگان'!$G75=1,'طیف فازی'!$C$2,IF('امتیاز دهی خبرگان'!$G75=2,'طیف فازی'!$C$3,IF('امتیاز دهی خبرگان'!$G75=3,'طیف فازی'!$C$4,IF('امتیاز دهی خبرگان'!$G75=4,'طیف فازی'!$C$5,'طیف فازی'!$C$6)))))</f>
        <v>0.25</v>
      </c>
      <c r="Q75" s="19">
        <f>IF('امتیاز دهی خبرگان'!$G75=0,0,IF('امتیاز دهی خبرگان'!$G75=1,'طیف فازی'!$D$2,IF('امتیاز دهی خبرگان'!$G75=2,'طیف فازی'!$D$3,IF('امتیاز دهی خبرگان'!$G75=3,'طیف فازی'!$D$4,IF('امتیاز دهی خبرگان'!$G75=4,'طیف فازی'!$D$5,'طیف فازی'!$D$6)))))</f>
        <v>0.5</v>
      </c>
      <c r="R75" s="17">
        <f>IF('امتیاز دهی خبرگان'!$H75=0,0,IF('امتیاز دهی خبرگان'!$H75=1,'طیف فازی'!$B$2,IF('امتیاز دهی خبرگان'!$H75=2,'طیف فازی'!$B$3,IF('امتیاز دهی خبرگان'!$H75=3,'طیف فازی'!$B$4,IF('امتیاز دهی خبرگان'!$H75=4,'طیف فازی'!$B$5,'طیف فازی'!$B$6)))))</f>
        <v>0.5</v>
      </c>
      <c r="S75" s="18">
        <f>IF('امتیاز دهی خبرگان'!$H75=0,0,IF('امتیاز دهی خبرگان'!$H75=1,'طیف فازی'!$C$2,IF('امتیاز دهی خبرگان'!$H75=2,'طیف فازی'!$C$3,IF('امتیاز دهی خبرگان'!$H75=3,'طیف فازی'!$C$4,IF('امتیاز دهی خبرگان'!$H75=4,'طیف فازی'!$C$5,'طیف فازی'!$C$6)))))</f>
        <v>0.75</v>
      </c>
      <c r="T75" s="19">
        <f>IF('امتیاز دهی خبرگان'!$H75=0,0,IF('امتیاز دهی خبرگان'!$H75=1,'طیف فازی'!$D$2,IF('امتیاز دهی خبرگان'!$H75=2,'طیف فازی'!$D$3,IF('امتیاز دهی خبرگان'!$H75=3,'طیف فازی'!$D$4,IF('امتیاز دهی خبرگان'!$H75=4,'طیف فازی'!$D$5,'طیف فازی'!$D$6)))))</f>
        <v>1</v>
      </c>
      <c r="U75" s="17">
        <f>IF('امتیاز دهی خبرگان'!$I75=0,0,IF('امتیاز دهی خبرگان'!$I75=1,'طیف فازی'!$B$2,IF('امتیاز دهی خبرگان'!$I75=2,'طیف فازی'!$B$3,IF('امتیاز دهی خبرگان'!$I75=3,'طیف فازی'!$B$4,IF('امتیاز دهی خبرگان'!$I75=4,'طیف فازی'!$B$5,'طیف فازی'!$B$6)))))</f>
        <v>0.25</v>
      </c>
      <c r="V75" s="18">
        <f>IF('امتیاز دهی خبرگان'!$I75=0,0,IF('امتیاز دهی خبرگان'!$I75=1,'طیف فازی'!$C$2,IF('امتیاز دهی خبرگان'!$I75=2,'طیف فازی'!$C$3,IF('امتیاز دهی خبرگان'!$I75=3,'طیف فازی'!$C$4,IF('امتیاز دهی خبرگان'!$I75=4,'طیف فازی'!$C$5,'طیف فازی'!$C$6)))))</f>
        <v>0.5</v>
      </c>
      <c r="W75" s="19">
        <f>IF('امتیاز دهی خبرگان'!$I75=0,0,IF('امتیاز دهی خبرگان'!$I75=1,'طیف فازی'!$D$2,IF('امتیاز دهی خبرگان'!$I75=2,'طیف فازی'!$D$3,IF('امتیاز دهی خبرگان'!$I75=3,'طیف فازی'!$D$4,IF('امتیاز دهی خبرگان'!$I75=4,'طیف فازی'!$D$5,'طیف فازی'!$D$6)))))</f>
        <v>0.75</v>
      </c>
      <c r="X75" s="17">
        <f>IF('امتیاز دهی خبرگان'!$J75=0,0,IF('امتیاز دهی خبرگان'!$J75=1,'طیف فازی'!$B$2,IF('امتیاز دهی خبرگان'!$J75=2,'طیف فازی'!$B$3,IF('امتیاز دهی خبرگان'!$J75=3,'طیف فازی'!$B$4,IF('امتیاز دهی خبرگان'!$J75=4,'طیف فازی'!$B$5,'طیف فازی'!$B$6)))))</f>
        <v>0.25</v>
      </c>
      <c r="Y75" s="18">
        <f>IF('امتیاز دهی خبرگان'!$J75=0,0,IF('امتیاز دهی خبرگان'!$J75=1,'طیف فازی'!$C$2,IF('امتیاز دهی خبرگان'!$J75=2,'طیف فازی'!$C$3,IF('امتیاز دهی خبرگان'!$J75=3,'طیف فازی'!$C$4,IF('امتیاز دهی خبرگان'!$J75=4,'طیف فازی'!$C$5,'طیف فازی'!$C$6)))))</f>
        <v>0.5</v>
      </c>
      <c r="Z75" s="19">
        <f>IF('امتیاز دهی خبرگان'!$J75=0,0,IF('امتیاز دهی خبرگان'!$J75=1,'طیف فازی'!$D$2,IF('امتیاز دهی خبرگان'!$J75=2,'طیف فازی'!$D$3,IF('امتیاز دهی خبرگان'!$J75=3,'طیف فازی'!$D$4,IF('امتیاز دهی خبرگان'!$J75=4,'طیف فازی'!$D$5,'طیف فازی'!$D$6)))))</f>
        <v>0.75</v>
      </c>
      <c r="AA75" s="17">
        <f>IF('امتیاز دهی خبرگان'!$K75=0,0,IF('امتیاز دهی خبرگان'!$K75=1,'طیف فازی'!$B$2,IF('امتیاز دهی خبرگان'!$K75=2,'طیف فازی'!$B$3,IF('امتیاز دهی خبرگان'!$K75=3,'طیف فازی'!$B$4,IF('امتیاز دهی خبرگان'!$K75=4,'طیف فازی'!$B$5,'طیف فازی'!$B$6)))))</f>
        <v>0.75</v>
      </c>
      <c r="AB75" s="18">
        <f>IF('امتیاز دهی خبرگان'!$K75=0,0,IF('امتیاز دهی خبرگان'!$K75=1,'طیف فازی'!$C$2,IF('امتیاز دهی خبرگان'!$K75=2,'طیف فازی'!$C$3,IF('امتیاز دهی خبرگان'!$K75=3,'طیف فازی'!$C$4,IF('امتیاز دهی خبرگان'!$K75=4,'طیف فازی'!$C$5,'طیف فازی'!$C$6)))))</f>
        <v>1</v>
      </c>
      <c r="AC75" s="19">
        <f>IF('امتیاز دهی خبرگان'!$K75=0,0,IF('امتیاز دهی خبرگان'!$K75=1,'طیف فازی'!$D$2,IF('امتیاز دهی خبرگان'!$K75=2,'طیف فازی'!$D$3,IF('امتیاز دهی خبرگان'!$K75=3,'طیف فازی'!$D$4,IF('امتیاز دهی خبرگان'!$K75=4,'طیف فازی'!$D$5,'طیف فازی'!$D$6)))))</f>
        <v>1</v>
      </c>
      <c r="AD75" s="17">
        <f>IF('امتیاز دهی خبرگان'!$L75=0,0,IF('امتیاز دهی خبرگان'!$L75=1,'طیف فازی'!$B$2,IF('امتیاز دهی خبرگان'!$L75=2,'طیف فازی'!$B$3,IF('امتیاز دهی خبرگان'!$L75=3,'طیف فازی'!$B$4,IF('امتیاز دهی خبرگان'!$L75=4,'طیف فازی'!$B$5,'طیف فازی'!$B$6)))))</f>
        <v>0</v>
      </c>
      <c r="AE75" s="18">
        <f>IF('امتیاز دهی خبرگان'!$L75=0,0,IF('امتیاز دهی خبرگان'!$L75=1,'طیف فازی'!$C$2,IF('امتیاز دهی خبرگان'!$L75=2,'طیف فازی'!$C$3,IF('امتیاز دهی خبرگان'!$L75=3,'طیف فازی'!$C$4,IF('امتیاز دهی خبرگان'!$L75=4,'طیف فازی'!$C$5,'طیف فازی'!$C$6)))))</f>
        <v>0</v>
      </c>
      <c r="AF75" s="19">
        <f>IF('امتیاز دهی خبرگان'!$L75=0,0,IF('امتیاز دهی خبرگان'!$L75=1,'طیف فازی'!$D$2,IF('امتیاز دهی خبرگان'!$L75=2,'طیف فازی'!$D$3,IF('امتیاز دهی خبرگان'!$L75=3,'طیف فازی'!$D$4,IF('امتیاز دهی خبرگان'!$L75=4,'طیف فازی'!$D$5,'طیف فازی'!$D$6)))))</f>
        <v>0.25</v>
      </c>
      <c r="AG75" s="17">
        <f>IF('امتیاز دهی خبرگان'!$M75=0,0,IF('امتیاز دهی خبرگان'!$M75=1,'طیف فازی'!$B$2,IF('امتیاز دهی خبرگان'!$M75=2,'طیف فازی'!$B$3,IF('امتیاز دهی خبرگان'!$M75=3,'طیف فازی'!$B$4,IF('امتیاز دهی خبرگان'!$M75=4,'طیف فازی'!$B$5,'طیف فازی'!$B$6)))))</f>
        <v>0.5</v>
      </c>
      <c r="AH75" s="18">
        <f>IF('امتیاز دهی خبرگان'!$M75=0,0,IF('امتیاز دهی خبرگان'!$M75=1,'طیف فازی'!$C$2,IF('امتیاز دهی خبرگان'!$M75=2,'طیف فازی'!$C$3,IF('امتیاز دهی خبرگان'!$M75=3,'طیف فازی'!$C$4,IF('امتیاز دهی خبرگان'!$M75=4,'طیف فازی'!$C$5,'طیف فازی'!$C$6)))))</f>
        <v>0.75</v>
      </c>
      <c r="AI75" s="19">
        <f>IF('امتیاز دهی خبرگان'!$M75=0,0,IF('امتیاز دهی خبرگان'!$M75=1,'طیف فازی'!$D$2,IF('امتیاز دهی خبرگان'!$M75=2,'طیف فازی'!$D$3,IF('امتیاز دهی خبرگان'!$M75=3,'طیف فازی'!$D$4,IF('امتیاز دهی خبرگان'!$M75=4,'طیف فازی'!$D$5,'طیف فازی'!$D$6)))))</f>
        <v>1</v>
      </c>
      <c r="AJ75" s="17">
        <f>IF('امتیاز دهی خبرگان'!$N75=0,0,IF('امتیاز دهی خبرگان'!$N75=1,'طیف فازی'!$B$2,IF('امتیاز دهی خبرگان'!$N75=2,'طیف فازی'!$B$3,IF('امتیاز دهی خبرگان'!$N75=3,'طیف فازی'!$B$4,IF('امتیاز دهی خبرگان'!$N75=4,'طیف فازی'!$B$5,'طیف فازی'!$B$6)))))</f>
        <v>0.75</v>
      </c>
      <c r="AK75" s="18">
        <f>IF('امتیاز دهی خبرگان'!$N75=0,0,IF('امتیاز دهی خبرگان'!$N75=1,'طیف فازی'!$C$2,IF('امتیاز دهی خبرگان'!$N75=2,'طیف فازی'!$C$3,IF('امتیاز دهی خبرگان'!$N75=3,'طیف فازی'!$C$4,IF('امتیاز دهی خبرگان'!$N75=4,'طیف فازی'!$C$5,'طیف فازی'!$C$6)))))</f>
        <v>1</v>
      </c>
      <c r="AL75" s="19">
        <f>IF('امتیاز دهی خبرگان'!$N75=0,0,IF('امتیاز دهی خبرگان'!$N75=1,'طیف فازی'!$D$2,IF('امتیاز دهی خبرگان'!$N75=2,'طیف فازی'!$D$3,IF('امتیاز دهی خبرگان'!$N75=3,'طیف فازی'!$D$4,IF('امتیاز دهی خبرگان'!$N75=4,'طیف فازی'!$D$5,'طیف فازی'!$D$6)))))</f>
        <v>1</v>
      </c>
      <c r="AM75" s="23">
        <f t="shared" si="9"/>
        <v>4.75</v>
      </c>
      <c r="AN75" s="23">
        <f t="shared" si="10"/>
        <v>7.25</v>
      </c>
      <c r="AO75" s="24">
        <f t="shared" si="11"/>
        <v>9.25</v>
      </c>
      <c r="AP75" s="25">
        <f t="shared" si="12"/>
        <v>0.39583333333333331</v>
      </c>
      <c r="AQ75" s="23">
        <f t="shared" si="13"/>
        <v>0.60416666666666663</v>
      </c>
      <c r="AR75" s="24">
        <f t="shared" si="14"/>
        <v>0.77083333333333337</v>
      </c>
      <c r="AS75" s="24">
        <f t="shared" si="15"/>
        <v>0.59027777777777779</v>
      </c>
      <c r="AT75" s="24" t="str">
        <f t="shared" si="16"/>
        <v>Not Pass</v>
      </c>
    </row>
    <row r="76" spans="2:46" ht="23.25" customHeight="1" thickBot="1" x14ac:dyDescent="0.85">
      <c r="B76" s="2">
        <v>72</v>
      </c>
      <c r="C76" s="17">
        <f>IF('امتیاز دهی خبرگان'!$C76=0,0,IF('امتیاز دهی خبرگان'!$C76=1,'طیف فازی'!$B$2,IF('امتیاز دهی خبرگان'!$C76=2,'طیف فازی'!$B$3,IF('امتیاز دهی خبرگان'!$C76=3,'طیف فازی'!$B$4,IF('امتیاز دهی خبرگان'!$C76=4,'طیف فازی'!$B$5,'طیف فازی'!$B$6)))))</f>
        <v>0.5</v>
      </c>
      <c r="D76" s="18">
        <f>IF('امتیاز دهی خبرگان'!$C76=0,0,IF('امتیاز دهی خبرگان'!$C76=1,'طیف فازی'!$C$2,IF('امتیاز دهی خبرگان'!$C76=2,'طیف فازی'!$C$3,IF('امتیاز دهی خبرگان'!$C76=3,'طیف فازی'!$C$4,IF('امتیاز دهی خبرگان'!$C76=4,'طیف فازی'!$C$5,'طیف فازی'!$C$6)))))</f>
        <v>0.75</v>
      </c>
      <c r="E76" s="19">
        <f>IF('امتیاز دهی خبرگان'!$C76=0,0,IF('امتیاز دهی خبرگان'!$C76=1,'طیف فازی'!$D$2,IF('امتیاز دهی خبرگان'!$C76=2,'طیف فازی'!$D$3,IF('امتیاز دهی خبرگان'!$C76=3,'طیف فازی'!$D$4,IF('امتیاز دهی خبرگان'!$C76=4,'طیف فازی'!$D$5,'طیف فازی'!$D$6)))))</f>
        <v>1</v>
      </c>
      <c r="F76" s="20">
        <f>IF('امتیاز دهی خبرگان'!$D76=0,0,IF('امتیاز دهی خبرگان'!$D76=1,'طیف فازی'!$B$2,IF('امتیاز دهی خبرگان'!$D76=2,'طیف فازی'!$B$3,IF('امتیاز دهی خبرگان'!$D76=3,'طیف فازی'!$B$4,IF('امتیاز دهی خبرگان'!$D76=4,'طیف فازی'!$B$5,'طیف فازی'!$B$6)))))</f>
        <v>0.25</v>
      </c>
      <c r="G76" s="21">
        <f>IF('امتیاز دهی خبرگان'!$D76=0,0,IF('امتیاز دهی خبرگان'!$D76=1,'طیف فازی'!$D$2,IF('امتیاز دهی خبرگان'!$D76=2,'طیف فازی'!$C$3,IF('امتیاز دهی خبرگان'!$D76=3,'طیف فازی'!$C$4,IF('امتیاز دهی خبرگان'!$D76=4,'طیف فازی'!$C$5,'طیف فازی'!$C$6)))))</f>
        <v>0.5</v>
      </c>
      <c r="H76" s="22">
        <f>IF('امتیاز دهی خبرگان'!$D76=0,0,IF('امتیاز دهی خبرگان'!$D76=1,'طیف فازی'!$D$2,IF('امتیاز دهی خبرگان'!$D76=2,'طیف فازی'!$D$3,IF('امتیاز دهی خبرگان'!$D76=3,'طیف فازی'!$D$4,IF('امتیاز دهی خبرگان'!$D76=4,'طیف فازی'!$D$5,'طیف فازی'!$D$6)))))</f>
        <v>0.75</v>
      </c>
      <c r="I76" s="17">
        <f>IF('امتیاز دهی خبرگان'!$E76=0,0,IF('امتیاز دهی خبرگان'!$E76=1,'طیف فازی'!$B$2,IF('امتیاز دهی خبرگان'!$E76=2,'طیف فازی'!$B$3,IF('امتیاز دهی خبرگان'!$E76=3,'طیف فازی'!$B$4,IF('امتیاز دهی خبرگان'!$E76=4,'طیف فازی'!$B$5,'طیف فازی'!$B$6)))))</f>
        <v>0</v>
      </c>
      <c r="J76" s="18">
        <f>IF('امتیاز دهی خبرگان'!$E76=0,0,IF('امتیاز دهی خبرگان'!$E76=1,'طیف فازی'!$C$2,IF('امتیاز دهی خبرگان'!$E76=2,'طیف فازی'!$C$3,IF('امتیاز دهی خبرگان'!$E76=3,'طیف فازی'!$C$4,IF('امتیاز دهی خبرگان'!$E76=4,'طیف فازی'!$C$5,'طیف فازی'!$C$6)))))</f>
        <v>0</v>
      </c>
      <c r="K76" s="19">
        <f>IF('امتیاز دهی خبرگان'!$E76=0,0,IF('امتیاز دهی خبرگان'!$E76=1,'طیف فازی'!$D$2,IF('امتیاز دهی خبرگان'!$E76=2,'طیف فازی'!$D$3,IF('امتیاز دهی خبرگان'!$E76=3,'طیف فازی'!$D$4,IF('امتیاز دهی خبرگان'!$E76=4,'طیف فازی'!$D$5,'طیف فازی'!$D$6)))))</f>
        <v>0.25</v>
      </c>
      <c r="L76" s="17">
        <f>IF('امتیاز دهی خبرگان'!$F76=0,0,IF('امتیاز دهی خبرگان'!$F76=1,'طیف فازی'!$B$2,IF('امتیاز دهی خبرگان'!$F76=2,'طیف فازی'!$B$3,IF('امتیاز دهی خبرگان'!$F76=3,'طیف فازی'!$B$4,IF('امتیاز دهی خبرگان'!$F76=4,'طیف فازی'!$B$5,'طیف فازی'!$B$6)))))</f>
        <v>0.25</v>
      </c>
      <c r="M76" s="18">
        <f>IF('امتیاز دهی خبرگان'!$F76=0,0,IF('امتیاز دهی خبرگان'!$F76=1,'طیف فازی'!$C$2,IF('امتیاز دهی خبرگان'!$F76=2,'طیف فازی'!$C$3,IF('امتیاز دهی خبرگان'!$F76=3,'طیف فازی'!$C$4,IF('امتیاز دهی خبرگان'!$F76=4,'طیف فازی'!$C$5,'طیف فازی'!$C$6)))))</f>
        <v>0.5</v>
      </c>
      <c r="N76" s="19">
        <f>IF('امتیاز دهی خبرگان'!$F76=0,0,IF('امتیاز دهی خبرگان'!$F76=1,'طیف فازی'!$D$2,IF('امتیاز دهی خبرگان'!$F76=2,'طیف فازی'!$D$3,IF('امتیاز دهی خبرگان'!$F76=3,'طیف فازی'!$D$4,IF('امتیاز دهی خبرگان'!$F76=4,'طیف فازی'!$D$5,'طیف فازی'!$D$6)))))</f>
        <v>0.75</v>
      </c>
      <c r="O76" s="17">
        <f>IF('امتیاز دهی خبرگان'!$G76=0,0,IF('امتیاز دهی خبرگان'!$G76=1,'طیف فازی'!$B$2,IF('امتیاز دهی خبرگان'!$G76=2,'طیف فازی'!$B$3,IF('امتیاز دهی خبرگان'!$G76=3,'طیف فازی'!$B$4,IF('امتیاز دهی خبرگان'!$G76=4,'طیف فازی'!$B$5,'طیف فازی'!$B$6)))))</f>
        <v>0.25</v>
      </c>
      <c r="P76" s="18">
        <f>IF('امتیاز دهی خبرگان'!$G76=0,0,IF('امتیاز دهی خبرگان'!$G76=1,'طیف فازی'!$C$2,IF('امتیاز دهی خبرگان'!$G76=2,'طیف فازی'!$C$3,IF('امتیاز دهی خبرگان'!$G76=3,'طیف فازی'!$C$4,IF('امتیاز دهی خبرگان'!$G76=4,'طیف فازی'!$C$5,'طیف فازی'!$C$6)))))</f>
        <v>0.5</v>
      </c>
      <c r="Q76" s="19">
        <f>IF('امتیاز دهی خبرگان'!$G76=0,0,IF('امتیاز دهی خبرگان'!$G76=1,'طیف فازی'!$D$2,IF('امتیاز دهی خبرگان'!$G76=2,'طیف فازی'!$D$3,IF('امتیاز دهی خبرگان'!$G76=3,'طیف فازی'!$D$4,IF('امتیاز دهی خبرگان'!$G76=4,'طیف فازی'!$D$5,'طیف فازی'!$D$6)))))</f>
        <v>0.75</v>
      </c>
      <c r="R76" s="17">
        <f>IF('امتیاز دهی خبرگان'!$H76=0,0,IF('امتیاز دهی خبرگان'!$H76=1,'طیف فازی'!$B$2,IF('امتیاز دهی خبرگان'!$H76=2,'طیف فازی'!$B$3,IF('امتیاز دهی خبرگان'!$H76=3,'طیف فازی'!$B$4,IF('امتیاز دهی خبرگان'!$H76=4,'طیف فازی'!$B$5,'طیف فازی'!$B$6)))))</f>
        <v>0.25</v>
      </c>
      <c r="S76" s="18">
        <f>IF('امتیاز دهی خبرگان'!$H76=0,0,IF('امتیاز دهی خبرگان'!$H76=1,'طیف فازی'!$C$2,IF('امتیاز دهی خبرگان'!$H76=2,'طیف فازی'!$C$3,IF('امتیاز دهی خبرگان'!$H76=3,'طیف فازی'!$C$4,IF('امتیاز دهی خبرگان'!$H76=4,'طیف فازی'!$C$5,'طیف فازی'!$C$6)))))</f>
        <v>0.5</v>
      </c>
      <c r="T76" s="19">
        <f>IF('امتیاز دهی خبرگان'!$H76=0,0,IF('امتیاز دهی خبرگان'!$H76=1,'طیف فازی'!$D$2,IF('امتیاز دهی خبرگان'!$H76=2,'طیف فازی'!$D$3,IF('امتیاز دهی خبرگان'!$H76=3,'طیف فازی'!$D$4,IF('امتیاز دهی خبرگان'!$H76=4,'طیف فازی'!$D$5,'طیف فازی'!$D$6)))))</f>
        <v>0.75</v>
      </c>
      <c r="U76" s="17">
        <f>IF('امتیاز دهی خبرگان'!$I76=0,0,IF('امتیاز دهی خبرگان'!$I76=1,'طیف فازی'!$B$2,IF('امتیاز دهی خبرگان'!$I76=2,'طیف فازی'!$B$3,IF('امتیاز دهی خبرگان'!$I76=3,'طیف فازی'!$B$4,IF('امتیاز دهی خبرگان'!$I76=4,'طیف فازی'!$B$5,'طیف فازی'!$B$6)))))</f>
        <v>0.5</v>
      </c>
      <c r="V76" s="18">
        <f>IF('امتیاز دهی خبرگان'!$I76=0,0,IF('امتیاز دهی خبرگان'!$I76=1,'طیف فازی'!$C$2,IF('امتیاز دهی خبرگان'!$I76=2,'طیف فازی'!$C$3,IF('امتیاز دهی خبرگان'!$I76=3,'طیف فازی'!$C$4,IF('امتیاز دهی خبرگان'!$I76=4,'طیف فازی'!$C$5,'طیف فازی'!$C$6)))))</f>
        <v>0.75</v>
      </c>
      <c r="W76" s="19">
        <f>IF('امتیاز دهی خبرگان'!$I76=0,0,IF('امتیاز دهی خبرگان'!$I76=1,'طیف فازی'!$D$2,IF('امتیاز دهی خبرگان'!$I76=2,'طیف فازی'!$D$3,IF('امتیاز دهی خبرگان'!$I76=3,'طیف فازی'!$D$4,IF('امتیاز دهی خبرگان'!$I76=4,'طیف فازی'!$D$5,'طیف فازی'!$D$6)))))</f>
        <v>1</v>
      </c>
      <c r="X76" s="17">
        <f>IF('امتیاز دهی خبرگان'!$J76=0,0,IF('امتیاز دهی خبرگان'!$J76=1,'طیف فازی'!$B$2,IF('امتیاز دهی خبرگان'!$J76=2,'طیف فازی'!$B$3,IF('امتیاز دهی خبرگان'!$J76=3,'طیف فازی'!$B$4,IF('امتیاز دهی خبرگان'!$J76=4,'طیف فازی'!$B$5,'طیف فازی'!$B$6)))))</f>
        <v>0.5</v>
      </c>
      <c r="Y76" s="18">
        <f>IF('امتیاز دهی خبرگان'!$J76=0,0,IF('امتیاز دهی خبرگان'!$J76=1,'طیف فازی'!$C$2,IF('امتیاز دهی خبرگان'!$J76=2,'طیف فازی'!$C$3,IF('امتیاز دهی خبرگان'!$J76=3,'طیف فازی'!$C$4,IF('امتیاز دهی خبرگان'!$J76=4,'طیف فازی'!$C$5,'طیف فازی'!$C$6)))))</f>
        <v>0.75</v>
      </c>
      <c r="Z76" s="19">
        <f>IF('امتیاز دهی خبرگان'!$J76=0,0,IF('امتیاز دهی خبرگان'!$J76=1,'طیف فازی'!$D$2,IF('امتیاز دهی خبرگان'!$J76=2,'طیف فازی'!$D$3,IF('امتیاز دهی خبرگان'!$J76=3,'طیف فازی'!$D$4,IF('امتیاز دهی خبرگان'!$J76=4,'طیف فازی'!$D$5,'طیف فازی'!$D$6)))))</f>
        <v>1</v>
      </c>
      <c r="AA76" s="17">
        <f>IF('امتیاز دهی خبرگان'!$K76=0,0,IF('امتیاز دهی خبرگان'!$K76=1,'طیف فازی'!$B$2,IF('امتیاز دهی خبرگان'!$K76=2,'طیف فازی'!$B$3,IF('امتیاز دهی خبرگان'!$K76=3,'طیف فازی'!$B$4,IF('امتیاز دهی خبرگان'!$K76=4,'طیف فازی'!$B$5,'طیف فازی'!$B$6)))))</f>
        <v>0.5</v>
      </c>
      <c r="AB76" s="18">
        <f>IF('امتیاز دهی خبرگان'!$K76=0,0,IF('امتیاز دهی خبرگان'!$K76=1,'طیف فازی'!$C$2,IF('امتیاز دهی خبرگان'!$K76=2,'طیف فازی'!$C$3,IF('امتیاز دهی خبرگان'!$K76=3,'طیف فازی'!$C$4,IF('امتیاز دهی خبرگان'!$K76=4,'طیف فازی'!$C$5,'طیف فازی'!$C$6)))))</f>
        <v>0.75</v>
      </c>
      <c r="AC76" s="19">
        <f>IF('امتیاز دهی خبرگان'!$K76=0,0,IF('امتیاز دهی خبرگان'!$K76=1,'طیف فازی'!$D$2,IF('امتیاز دهی خبرگان'!$K76=2,'طیف فازی'!$D$3,IF('امتیاز دهی خبرگان'!$K76=3,'طیف فازی'!$D$4,IF('امتیاز دهی خبرگان'!$K76=4,'طیف فازی'!$D$5,'طیف فازی'!$D$6)))))</f>
        <v>1</v>
      </c>
      <c r="AD76" s="17">
        <f>IF('امتیاز دهی خبرگان'!$L76=0,0,IF('امتیاز دهی خبرگان'!$L76=1,'طیف فازی'!$B$2,IF('امتیاز دهی خبرگان'!$L76=2,'طیف فازی'!$B$3,IF('امتیاز دهی خبرگان'!$L76=3,'طیف فازی'!$B$4,IF('امتیاز دهی خبرگان'!$L76=4,'طیف فازی'!$B$5,'طیف فازی'!$B$6)))))</f>
        <v>0</v>
      </c>
      <c r="AE76" s="18">
        <f>IF('امتیاز دهی خبرگان'!$L76=0,0,IF('امتیاز دهی خبرگان'!$L76=1,'طیف فازی'!$C$2,IF('امتیاز دهی خبرگان'!$L76=2,'طیف فازی'!$C$3,IF('امتیاز دهی خبرگان'!$L76=3,'طیف فازی'!$C$4,IF('امتیاز دهی خبرگان'!$L76=4,'طیف فازی'!$C$5,'طیف فازی'!$C$6)))))</f>
        <v>0.25</v>
      </c>
      <c r="AF76" s="19">
        <f>IF('امتیاز دهی خبرگان'!$L76=0,0,IF('امتیاز دهی خبرگان'!$L76=1,'طیف فازی'!$D$2,IF('امتیاز دهی خبرگان'!$L76=2,'طیف فازی'!$D$3,IF('امتیاز دهی خبرگان'!$L76=3,'طیف فازی'!$D$4,IF('امتیاز دهی خبرگان'!$L76=4,'طیف فازی'!$D$5,'طیف فازی'!$D$6)))))</f>
        <v>0.5</v>
      </c>
      <c r="AG76" s="17">
        <f>IF('امتیاز دهی خبرگان'!$M76=0,0,IF('امتیاز دهی خبرگان'!$M76=1,'طیف فازی'!$B$2,IF('امتیاز دهی خبرگان'!$M76=2,'طیف فازی'!$B$3,IF('امتیاز دهی خبرگان'!$M76=3,'طیف فازی'!$B$4,IF('امتیاز دهی خبرگان'!$M76=4,'طیف فازی'!$B$5,'طیف فازی'!$B$6)))))</f>
        <v>0.75</v>
      </c>
      <c r="AH76" s="18">
        <f>IF('امتیاز دهی خبرگان'!$M76=0,0,IF('امتیاز دهی خبرگان'!$M76=1,'طیف فازی'!$C$2,IF('امتیاز دهی خبرگان'!$M76=2,'طیف فازی'!$C$3,IF('امتیاز دهی خبرگان'!$M76=3,'طیف فازی'!$C$4,IF('امتیاز دهی خبرگان'!$M76=4,'طیف فازی'!$C$5,'طیف فازی'!$C$6)))))</f>
        <v>1</v>
      </c>
      <c r="AI76" s="19">
        <f>IF('امتیاز دهی خبرگان'!$M76=0,0,IF('امتیاز دهی خبرگان'!$M76=1,'طیف فازی'!$D$2,IF('امتیاز دهی خبرگان'!$M76=2,'طیف فازی'!$D$3,IF('امتیاز دهی خبرگان'!$M76=3,'طیف فازی'!$D$4,IF('امتیاز دهی خبرگان'!$M76=4,'طیف فازی'!$D$5,'طیف فازی'!$D$6)))))</f>
        <v>1</v>
      </c>
      <c r="AJ76" s="17">
        <f>IF('امتیاز دهی خبرگان'!$N76=0,0,IF('امتیاز دهی خبرگان'!$N76=1,'طیف فازی'!$B$2,IF('امتیاز دهی خبرگان'!$N76=2,'طیف فازی'!$B$3,IF('امتیاز دهی خبرگان'!$N76=3,'طیف فازی'!$B$4,IF('امتیاز دهی خبرگان'!$N76=4,'طیف فازی'!$B$5,'طیف فازی'!$B$6)))))</f>
        <v>0.5</v>
      </c>
      <c r="AK76" s="18">
        <f>IF('امتیاز دهی خبرگان'!$N76=0,0,IF('امتیاز دهی خبرگان'!$N76=1,'طیف فازی'!$C$2,IF('امتیاز دهی خبرگان'!$N76=2,'طیف فازی'!$C$3,IF('امتیاز دهی خبرگان'!$N76=3,'طیف فازی'!$C$4,IF('امتیاز دهی خبرگان'!$N76=4,'طیف فازی'!$C$5,'طیف فازی'!$C$6)))))</f>
        <v>0.75</v>
      </c>
      <c r="AL76" s="19">
        <f>IF('امتیاز دهی خبرگان'!$N76=0,0,IF('امتیاز دهی خبرگان'!$N76=1,'طیف فازی'!$D$2,IF('امتیاز دهی خبرگان'!$N76=2,'طیف فازی'!$D$3,IF('امتیاز دهی خبرگان'!$N76=3,'طیف فازی'!$D$4,IF('امتیاز دهی خبرگان'!$N76=4,'طیف فازی'!$D$5,'طیف فازی'!$D$6)))))</f>
        <v>1</v>
      </c>
      <c r="AM76" s="23">
        <f t="shared" si="9"/>
        <v>4.25</v>
      </c>
      <c r="AN76" s="23">
        <f t="shared" si="10"/>
        <v>7</v>
      </c>
      <c r="AO76" s="24">
        <f t="shared" si="11"/>
        <v>9.75</v>
      </c>
      <c r="AP76" s="25">
        <f t="shared" si="12"/>
        <v>0.35416666666666669</v>
      </c>
      <c r="AQ76" s="23">
        <f t="shared" si="13"/>
        <v>0.58333333333333337</v>
      </c>
      <c r="AR76" s="24">
        <f t="shared" si="14"/>
        <v>0.8125</v>
      </c>
      <c r="AS76" s="24">
        <f t="shared" si="15"/>
        <v>0.58333333333333337</v>
      </c>
      <c r="AT76" s="24" t="str">
        <f t="shared" si="16"/>
        <v>Not Pass</v>
      </c>
    </row>
    <row r="77" spans="2:46" ht="23.25" customHeight="1" thickBot="1" x14ac:dyDescent="0.85">
      <c r="B77" s="2">
        <v>73</v>
      </c>
      <c r="C77" s="17">
        <f>IF('امتیاز دهی خبرگان'!$C77=0,0,IF('امتیاز دهی خبرگان'!$C77=1,'طیف فازی'!$B$2,IF('امتیاز دهی خبرگان'!$C77=2,'طیف فازی'!$B$3,IF('امتیاز دهی خبرگان'!$C77=3,'طیف فازی'!$B$4,IF('امتیاز دهی خبرگان'!$C77=4,'طیف فازی'!$B$5,'طیف فازی'!$B$6)))))</f>
        <v>0.75</v>
      </c>
      <c r="D77" s="18">
        <f>IF('امتیاز دهی خبرگان'!$C77=0,0,IF('امتیاز دهی خبرگان'!$C77=1,'طیف فازی'!$C$2,IF('امتیاز دهی خبرگان'!$C77=2,'طیف فازی'!$C$3,IF('امتیاز دهی خبرگان'!$C77=3,'طیف فازی'!$C$4,IF('امتیاز دهی خبرگان'!$C77=4,'طیف فازی'!$C$5,'طیف فازی'!$C$6)))))</f>
        <v>1</v>
      </c>
      <c r="E77" s="19">
        <f>IF('امتیاز دهی خبرگان'!$C77=0,0,IF('امتیاز دهی خبرگان'!$C77=1,'طیف فازی'!$D$2,IF('امتیاز دهی خبرگان'!$C77=2,'طیف فازی'!$D$3,IF('امتیاز دهی خبرگان'!$C77=3,'طیف فازی'!$D$4,IF('امتیاز دهی خبرگان'!$C77=4,'طیف فازی'!$D$5,'طیف فازی'!$D$6)))))</f>
        <v>1</v>
      </c>
      <c r="F77" s="20">
        <f>IF('امتیاز دهی خبرگان'!$D77=0,0,IF('امتیاز دهی خبرگان'!$D77=1,'طیف فازی'!$B$2,IF('امتیاز دهی خبرگان'!$D77=2,'طیف فازی'!$B$3,IF('امتیاز دهی خبرگان'!$D77=3,'طیف فازی'!$B$4,IF('امتیاز دهی خبرگان'!$D77=4,'طیف فازی'!$B$5,'طیف فازی'!$B$6)))))</f>
        <v>0.25</v>
      </c>
      <c r="G77" s="21">
        <f>IF('امتیاز دهی خبرگان'!$D77=0,0,IF('امتیاز دهی خبرگان'!$D77=1,'طیف فازی'!$D$2,IF('امتیاز دهی خبرگان'!$D77=2,'طیف فازی'!$C$3,IF('امتیاز دهی خبرگان'!$D77=3,'طیف فازی'!$C$4,IF('امتیاز دهی خبرگان'!$D77=4,'طیف فازی'!$C$5,'طیف فازی'!$C$6)))))</f>
        <v>0.5</v>
      </c>
      <c r="H77" s="22">
        <f>IF('امتیاز دهی خبرگان'!$D77=0,0,IF('امتیاز دهی خبرگان'!$D77=1,'طیف فازی'!$D$2,IF('امتیاز دهی خبرگان'!$D77=2,'طیف فازی'!$D$3,IF('امتیاز دهی خبرگان'!$D77=3,'طیف فازی'!$D$4,IF('امتیاز دهی خبرگان'!$D77=4,'طیف فازی'!$D$5,'طیف فازی'!$D$6)))))</f>
        <v>0.75</v>
      </c>
      <c r="I77" s="17">
        <f>IF('امتیاز دهی خبرگان'!$E77=0,0,IF('امتیاز دهی خبرگان'!$E77=1,'طیف فازی'!$B$2,IF('امتیاز دهی خبرگان'!$E77=2,'طیف فازی'!$B$3,IF('امتیاز دهی خبرگان'!$E77=3,'طیف فازی'!$B$4,IF('امتیاز دهی خبرگان'!$E77=4,'طیف فازی'!$B$5,'طیف فازی'!$B$6)))))</f>
        <v>0.5</v>
      </c>
      <c r="J77" s="18">
        <f>IF('امتیاز دهی خبرگان'!$E77=0,0,IF('امتیاز دهی خبرگان'!$E77=1,'طیف فازی'!$C$2,IF('امتیاز دهی خبرگان'!$E77=2,'طیف فازی'!$C$3,IF('امتیاز دهی خبرگان'!$E77=3,'طیف فازی'!$C$4,IF('امتیاز دهی خبرگان'!$E77=4,'طیف فازی'!$C$5,'طیف فازی'!$C$6)))))</f>
        <v>0.75</v>
      </c>
      <c r="K77" s="19">
        <f>IF('امتیاز دهی خبرگان'!$E77=0,0,IF('امتیاز دهی خبرگان'!$E77=1,'طیف فازی'!$D$2,IF('امتیاز دهی خبرگان'!$E77=2,'طیف فازی'!$D$3,IF('امتیاز دهی خبرگان'!$E77=3,'طیف فازی'!$D$4,IF('امتیاز دهی خبرگان'!$E77=4,'طیف فازی'!$D$5,'طیف فازی'!$D$6)))))</f>
        <v>1</v>
      </c>
      <c r="L77" s="17">
        <f>IF('امتیاز دهی خبرگان'!$F77=0,0,IF('امتیاز دهی خبرگان'!$F77=1,'طیف فازی'!$B$2,IF('امتیاز دهی خبرگان'!$F77=2,'طیف فازی'!$B$3,IF('امتیاز دهی خبرگان'!$F77=3,'طیف فازی'!$B$4,IF('امتیاز دهی خبرگان'!$F77=4,'طیف فازی'!$B$5,'طیف فازی'!$B$6)))))</f>
        <v>0.25</v>
      </c>
      <c r="M77" s="18">
        <f>IF('امتیاز دهی خبرگان'!$F77=0,0,IF('امتیاز دهی خبرگان'!$F77=1,'طیف فازی'!$C$2,IF('امتیاز دهی خبرگان'!$F77=2,'طیف فازی'!$C$3,IF('امتیاز دهی خبرگان'!$F77=3,'طیف فازی'!$C$4,IF('امتیاز دهی خبرگان'!$F77=4,'طیف فازی'!$C$5,'طیف فازی'!$C$6)))))</f>
        <v>0.5</v>
      </c>
      <c r="N77" s="19">
        <f>IF('امتیاز دهی خبرگان'!$F77=0,0,IF('امتیاز دهی خبرگان'!$F77=1,'طیف فازی'!$D$2,IF('امتیاز دهی خبرگان'!$F77=2,'طیف فازی'!$D$3,IF('امتیاز دهی خبرگان'!$F77=3,'طیف فازی'!$D$4,IF('امتیاز دهی خبرگان'!$F77=4,'طیف فازی'!$D$5,'طیف فازی'!$D$6)))))</f>
        <v>0.75</v>
      </c>
      <c r="O77" s="17">
        <f>IF('امتیاز دهی خبرگان'!$G77=0,0,IF('امتیاز دهی خبرگان'!$G77=1,'طیف فازی'!$B$2,IF('امتیاز دهی خبرگان'!$G77=2,'طیف فازی'!$B$3,IF('امتیاز دهی خبرگان'!$G77=3,'طیف فازی'!$B$4,IF('امتیاز دهی خبرگان'!$G77=4,'طیف فازی'!$B$5,'طیف فازی'!$B$6)))))</f>
        <v>0.25</v>
      </c>
      <c r="P77" s="18">
        <f>IF('امتیاز دهی خبرگان'!$G77=0,0,IF('امتیاز دهی خبرگان'!$G77=1,'طیف فازی'!$C$2,IF('امتیاز دهی خبرگان'!$G77=2,'طیف فازی'!$C$3,IF('امتیاز دهی خبرگان'!$G77=3,'طیف فازی'!$C$4,IF('امتیاز دهی خبرگان'!$G77=4,'طیف فازی'!$C$5,'طیف فازی'!$C$6)))))</f>
        <v>0.5</v>
      </c>
      <c r="Q77" s="19">
        <f>IF('امتیاز دهی خبرگان'!$G77=0,0,IF('امتیاز دهی خبرگان'!$G77=1,'طیف فازی'!$D$2,IF('امتیاز دهی خبرگان'!$G77=2,'طیف فازی'!$D$3,IF('امتیاز دهی خبرگان'!$G77=3,'طیف فازی'!$D$4,IF('امتیاز دهی خبرگان'!$G77=4,'طیف فازی'!$D$5,'طیف فازی'!$D$6)))))</f>
        <v>0.75</v>
      </c>
      <c r="R77" s="17">
        <f>IF('امتیاز دهی خبرگان'!$H77=0,0,IF('امتیاز دهی خبرگان'!$H77=1,'طیف فازی'!$B$2,IF('امتیاز دهی خبرگان'!$H77=2,'طیف فازی'!$B$3,IF('امتیاز دهی خبرگان'!$H77=3,'طیف فازی'!$B$4,IF('امتیاز دهی خبرگان'!$H77=4,'طیف فازی'!$B$5,'طیف فازی'!$B$6)))))</f>
        <v>0.5</v>
      </c>
      <c r="S77" s="18">
        <f>IF('امتیاز دهی خبرگان'!$H77=0,0,IF('امتیاز دهی خبرگان'!$H77=1,'طیف فازی'!$C$2,IF('امتیاز دهی خبرگان'!$H77=2,'طیف فازی'!$C$3,IF('امتیاز دهی خبرگان'!$H77=3,'طیف فازی'!$C$4,IF('امتیاز دهی خبرگان'!$H77=4,'طیف فازی'!$C$5,'طیف فازی'!$C$6)))))</f>
        <v>0.75</v>
      </c>
      <c r="T77" s="19">
        <f>IF('امتیاز دهی خبرگان'!$H77=0,0,IF('امتیاز دهی خبرگان'!$H77=1,'طیف فازی'!$D$2,IF('امتیاز دهی خبرگان'!$H77=2,'طیف فازی'!$D$3,IF('امتیاز دهی خبرگان'!$H77=3,'طیف فازی'!$D$4,IF('امتیاز دهی خبرگان'!$H77=4,'طیف فازی'!$D$5,'طیف فازی'!$D$6)))))</f>
        <v>1</v>
      </c>
      <c r="U77" s="17">
        <f>IF('امتیاز دهی خبرگان'!$I77=0,0,IF('امتیاز دهی خبرگان'!$I77=1,'طیف فازی'!$B$2,IF('امتیاز دهی خبرگان'!$I77=2,'طیف فازی'!$B$3,IF('امتیاز دهی خبرگان'!$I77=3,'طیف فازی'!$B$4,IF('امتیاز دهی خبرگان'!$I77=4,'طیف فازی'!$B$5,'طیف فازی'!$B$6)))))</f>
        <v>0.75</v>
      </c>
      <c r="V77" s="18">
        <f>IF('امتیاز دهی خبرگان'!$I77=0,0,IF('امتیاز دهی خبرگان'!$I77=1,'طیف فازی'!$C$2,IF('امتیاز دهی خبرگان'!$I77=2,'طیف فازی'!$C$3,IF('امتیاز دهی خبرگان'!$I77=3,'طیف فازی'!$C$4,IF('امتیاز دهی خبرگان'!$I77=4,'طیف فازی'!$C$5,'طیف فازی'!$C$6)))))</f>
        <v>1</v>
      </c>
      <c r="W77" s="19">
        <f>IF('امتیاز دهی خبرگان'!$I77=0,0,IF('امتیاز دهی خبرگان'!$I77=1,'طیف فازی'!$D$2,IF('امتیاز دهی خبرگان'!$I77=2,'طیف فازی'!$D$3,IF('امتیاز دهی خبرگان'!$I77=3,'طیف فازی'!$D$4,IF('امتیاز دهی خبرگان'!$I77=4,'طیف فازی'!$D$5,'طیف فازی'!$D$6)))))</f>
        <v>1</v>
      </c>
      <c r="X77" s="17">
        <f>IF('امتیاز دهی خبرگان'!$J77=0,0,IF('امتیاز دهی خبرگان'!$J77=1,'طیف فازی'!$B$2,IF('امتیاز دهی خبرگان'!$J77=2,'طیف فازی'!$B$3,IF('امتیاز دهی خبرگان'!$J77=3,'طیف فازی'!$B$4,IF('امتیاز دهی خبرگان'!$J77=4,'طیف فازی'!$B$5,'طیف فازی'!$B$6)))))</f>
        <v>0.5</v>
      </c>
      <c r="Y77" s="18">
        <f>IF('امتیاز دهی خبرگان'!$J77=0,0,IF('امتیاز دهی خبرگان'!$J77=1,'طیف فازی'!$C$2,IF('امتیاز دهی خبرگان'!$J77=2,'طیف فازی'!$C$3,IF('امتیاز دهی خبرگان'!$J77=3,'طیف فازی'!$C$4,IF('امتیاز دهی خبرگان'!$J77=4,'طیف فازی'!$C$5,'طیف فازی'!$C$6)))))</f>
        <v>0.75</v>
      </c>
      <c r="Z77" s="19">
        <f>IF('امتیاز دهی خبرگان'!$J77=0,0,IF('امتیاز دهی خبرگان'!$J77=1,'طیف فازی'!$D$2,IF('امتیاز دهی خبرگان'!$J77=2,'طیف فازی'!$D$3,IF('امتیاز دهی خبرگان'!$J77=3,'طیف فازی'!$D$4,IF('امتیاز دهی خبرگان'!$J77=4,'طیف فازی'!$D$5,'طیف فازی'!$D$6)))))</f>
        <v>1</v>
      </c>
      <c r="AA77" s="17">
        <f>IF('امتیاز دهی خبرگان'!$K77=0,0,IF('امتیاز دهی خبرگان'!$K77=1,'طیف فازی'!$B$2,IF('امتیاز دهی خبرگان'!$K77=2,'طیف فازی'!$B$3,IF('امتیاز دهی خبرگان'!$K77=3,'طیف فازی'!$B$4,IF('امتیاز دهی خبرگان'!$K77=4,'طیف فازی'!$B$5,'طیف فازی'!$B$6)))))</f>
        <v>0.75</v>
      </c>
      <c r="AB77" s="18">
        <f>IF('امتیاز دهی خبرگان'!$K77=0,0,IF('امتیاز دهی خبرگان'!$K77=1,'طیف فازی'!$C$2,IF('امتیاز دهی خبرگان'!$K77=2,'طیف فازی'!$C$3,IF('امتیاز دهی خبرگان'!$K77=3,'طیف فازی'!$C$4,IF('امتیاز دهی خبرگان'!$K77=4,'طیف فازی'!$C$5,'طیف فازی'!$C$6)))))</f>
        <v>1</v>
      </c>
      <c r="AC77" s="19">
        <f>IF('امتیاز دهی خبرگان'!$K77=0,0,IF('امتیاز دهی خبرگان'!$K77=1,'طیف فازی'!$D$2,IF('امتیاز دهی خبرگان'!$K77=2,'طیف فازی'!$D$3,IF('امتیاز دهی خبرگان'!$K77=3,'طیف فازی'!$D$4,IF('امتیاز دهی خبرگان'!$K77=4,'طیف فازی'!$D$5,'طیف فازی'!$D$6)))))</f>
        <v>1</v>
      </c>
      <c r="AD77" s="17">
        <f>IF('امتیاز دهی خبرگان'!$L77=0,0,IF('امتیاز دهی خبرگان'!$L77=1,'طیف فازی'!$B$2,IF('امتیاز دهی خبرگان'!$L77=2,'طیف فازی'!$B$3,IF('امتیاز دهی خبرگان'!$L77=3,'طیف فازی'!$B$4,IF('امتیاز دهی خبرگان'!$L77=4,'طیف فازی'!$B$5,'طیف فازی'!$B$6)))))</f>
        <v>0.75</v>
      </c>
      <c r="AE77" s="18">
        <f>IF('امتیاز دهی خبرگان'!$L77=0,0,IF('امتیاز دهی خبرگان'!$L77=1,'طیف فازی'!$C$2,IF('امتیاز دهی خبرگان'!$L77=2,'طیف فازی'!$C$3,IF('امتیاز دهی خبرگان'!$L77=3,'طیف فازی'!$C$4,IF('امتیاز دهی خبرگان'!$L77=4,'طیف فازی'!$C$5,'طیف فازی'!$C$6)))))</f>
        <v>1</v>
      </c>
      <c r="AF77" s="19">
        <f>IF('امتیاز دهی خبرگان'!$L77=0,0,IF('امتیاز دهی خبرگان'!$L77=1,'طیف فازی'!$D$2,IF('امتیاز دهی خبرگان'!$L77=2,'طیف فازی'!$D$3,IF('امتیاز دهی خبرگان'!$L77=3,'طیف فازی'!$D$4,IF('امتیاز دهی خبرگان'!$L77=4,'طیف فازی'!$D$5,'طیف فازی'!$D$6)))))</f>
        <v>1</v>
      </c>
      <c r="AG77" s="17">
        <f>IF('امتیاز دهی خبرگان'!$M77=0,0,IF('امتیاز دهی خبرگان'!$M77=1,'طیف فازی'!$B$2,IF('امتیاز دهی خبرگان'!$M77=2,'طیف فازی'!$B$3,IF('امتیاز دهی خبرگان'!$M77=3,'طیف فازی'!$B$4,IF('امتیاز دهی خبرگان'!$M77=4,'طیف فازی'!$B$5,'طیف فازی'!$B$6)))))</f>
        <v>0.5</v>
      </c>
      <c r="AH77" s="18">
        <f>IF('امتیاز دهی خبرگان'!$M77=0,0,IF('امتیاز دهی خبرگان'!$M77=1,'طیف فازی'!$C$2,IF('امتیاز دهی خبرگان'!$M77=2,'طیف فازی'!$C$3,IF('امتیاز دهی خبرگان'!$M77=3,'طیف فازی'!$C$4,IF('امتیاز دهی خبرگان'!$M77=4,'طیف فازی'!$C$5,'طیف فازی'!$C$6)))))</f>
        <v>0.75</v>
      </c>
      <c r="AI77" s="19">
        <f>IF('امتیاز دهی خبرگان'!$M77=0,0,IF('امتیاز دهی خبرگان'!$M77=1,'طیف فازی'!$D$2,IF('امتیاز دهی خبرگان'!$M77=2,'طیف فازی'!$D$3,IF('امتیاز دهی خبرگان'!$M77=3,'طیف فازی'!$D$4,IF('امتیاز دهی خبرگان'!$M77=4,'طیف فازی'!$D$5,'طیف فازی'!$D$6)))))</f>
        <v>1</v>
      </c>
      <c r="AJ77" s="17">
        <f>IF('امتیاز دهی خبرگان'!$N77=0,0,IF('امتیاز دهی خبرگان'!$N77=1,'طیف فازی'!$B$2,IF('امتیاز دهی خبرگان'!$N77=2,'طیف فازی'!$B$3,IF('امتیاز دهی خبرگان'!$N77=3,'طیف فازی'!$B$4,IF('امتیاز دهی خبرگان'!$N77=4,'طیف فازی'!$B$5,'طیف فازی'!$B$6)))))</f>
        <v>0.5</v>
      </c>
      <c r="AK77" s="18">
        <f>IF('امتیاز دهی خبرگان'!$N77=0,0,IF('امتیاز دهی خبرگان'!$N77=1,'طیف فازی'!$C$2,IF('امتیاز دهی خبرگان'!$N77=2,'طیف فازی'!$C$3,IF('امتیاز دهی خبرگان'!$N77=3,'طیف فازی'!$C$4,IF('امتیاز دهی خبرگان'!$N77=4,'طیف فازی'!$C$5,'طیف فازی'!$C$6)))))</f>
        <v>0.75</v>
      </c>
      <c r="AL77" s="19">
        <f>IF('امتیاز دهی خبرگان'!$N77=0,0,IF('امتیاز دهی خبرگان'!$N77=1,'طیف فازی'!$D$2,IF('امتیاز دهی خبرگان'!$N77=2,'طیف فازی'!$D$3,IF('امتیاز دهی خبرگان'!$N77=3,'طیف فازی'!$D$4,IF('امتیاز دهی خبرگان'!$N77=4,'طیف فازی'!$D$5,'طیف فازی'!$D$6)))))</f>
        <v>1</v>
      </c>
      <c r="AM77" s="23">
        <f t="shared" si="9"/>
        <v>6.25</v>
      </c>
      <c r="AN77" s="23">
        <f t="shared" si="10"/>
        <v>9.25</v>
      </c>
      <c r="AO77" s="24">
        <f t="shared" si="11"/>
        <v>11.25</v>
      </c>
      <c r="AP77" s="25">
        <f t="shared" si="12"/>
        <v>0.52083333333333337</v>
      </c>
      <c r="AQ77" s="23">
        <f t="shared" si="13"/>
        <v>0.77083333333333337</v>
      </c>
      <c r="AR77" s="24">
        <f t="shared" si="14"/>
        <v>0.9375</v>
      </c>
      <c r="AS77" s="24">
        <f t="shared" si="15"/>
        <v>0.74305555555555569</v>
      </c>
      <c r="AT77" s="24" t="str">
        <f t="shared" si="16"/>
        <v>Pass</v>
      </c>
    </row>
    <row r="78" spans="2:46" ht="23.25" customHeight="1" thickBot="1" x14ac:dyDescent="0.85">
      <c r="B78" s="2">
        <v>74</v>
      </c>
      <c r="C78" s="17">
        <f>IF('امتیاز دهی خبرگان'!$C78=0,0,IF('امتیاز دهی خبرگان'!$C78=1,'طیف فازی'!$B$2,IF('امتیاز دهی خبرگان'!$C78=2,'طیف فازی'!$B$3,IF('امتیاز دهی خبرگان'!$C78=3,'طیف فازی'!$B$4,IF('امتیاز دهی خبرگان'!$C78=4,'طیف فازی'!$B$5,'طیف فازی'!$B$6)))))</f>
        <v>0.75</v>
      </c>
      <c r="D78" s="18">
        <f>IF('امتیاز دهی خبرگان'!$C78=0,0,IF('امتیاز دهی خبرگان'!$C78=1,'طیف فازی'!$C$2,IF('امتیاز دهی خبرگان'!$C78=2,'طیف فازی'!$C$3,IF('امتیاز دهی خبرگان'!$C78=3,'طیف فازی'!$C$4,IF('امتیاز دهی خبرگان'!$C78=4,'طیف فازی'!$C$5,'طیف فازی'!$C$6)))))</f>
        <v>1</v>
      </c>
      <c r="E78" s="19">
        <f>IF('امتیاز دهی خبرگان'!$C78=0,0,IF('امتیاز دهی خبرگان'!$C78=1,'طیف فازی'!$D$2,IF('امتیاز دهی خبرگان'!$C78=2,'طیف فازی'!$D$3,IF('امتیاز دهی خبرگان'!$C78=3,'طیف فازی'!$D$4,IF('امتیاز دهی خبرگان'!$C78=4,'طیف فازی'!$D$5,'طیف فازی'!$D$6)))))</f>
        <v>1</v>
      </c>
      <c r="F78" s="20">
        <f>IF('امتیاز دهی خبرگان'!$D78=0,0,IF('امتیاز دهی خبرگان'!$D78=1,'طیف فازی'!$B$2,IF('امتیاز دهی خبرگان'!$D78=2,'طیف فازی'!$B$3,IF('امتیاز دهی خبرگان'!$D78=3,'طیف فازی'!$B$4,IF('امتیاز دهی خبرگان'!$D78=4,'طیف فازی'!$B$5,'طیف فازی'!$B$6)))))</f>
        <v>0.5</v>
      </c>
      <c r="G78" s="21">
        <f>IF('امتیاز دهی خبرگان'!$D78=0,0,IF('امتیاز دهی خبرگان'!$D78=1,'طیف فازی'!$D$2,IF('امتیاز دهی خبرگان'!$D78=2,'طیف فازی'!$C$3,IF('امتیاز دهی خبرگان'!$D78=3,'طیف فازی'!$C$4,IF('امتیاز دهی خبرگان'!$D78=4,'طیف فازی'!$C$5,'طیف فازی'!$C$6)))))</f>
        <v>0.75</v>
      </c>
      <c r="H78" s="22">
        <f>IF('امتیاز دهی خبرگان'!$D78=0,0,IF('امتیاز دهی خبرگان'!$D78=1,'طیف فازی'!$D$2,IF('امتیاز دهی خبرگان'!$D78=2,'طیف فازی'!$D$3,IF('امتیاز دهی خبرگان'!$D78=3,'طیف فازی'!$D$4,IF('امتیاز دهی خبرگان'!$D78=4,'طیف فازی'!$D$5,'طیف فازی'!$D$6)))))</f>
        <v>1</v>
      </c>
      <c r="I78" s="17">
        <f>IF('امتیاز دهی خبرگان'!$E78=0,0,IF('امتیاز دهی خبرگان'!$E78=1,'طیف فازی'!$B$2,IF('امتیاز دهی خبرگان'!$E78=2,'طیف فازی'!$B$3,IF('امتیاز دهی خبرگان'!$E78=3,'طیف فازی'!$B$4,IF('امتیاز دهی خبرگان'!$E78=4,'طیف فازی'!$B$5,'طیف فازی'!$B$6)))))</f>
        <v>0.5</v>
      </c>
      <c r="J78" s="18">
        <f>IF('امتیاز دهی خبرگان'!$E78=0,0,IF('امتیاز دهی خبرگان'!$E78=1,'طیف فازی'!$C$2,IF('امتیاز دهی خبرگان'!$E78=2,'طیف فازی'!$C$3,IF('امتیاز دهی خبرگان'!$E78=3,'طیف فازی'!$C$4,IF('امتیاز دهی خبرگان'!$E78=4,'طیف فازی'!$C$5,'طیف فازی'!$C$6)))))</f>
        <v>0.75</v>
      </c>
      <c r="K78" s="19">
        <f>IF('امتیاز دهی خبرگان'!$E78=0,0,IF('امتیاز دهی خبرگان'!$E78=1,'طیف فازی'!$D$2,IF('امتیاز دهی خبرگان'!$E78=2,'طیف فازی'!$D$3,IF('امتیاز دهی خبرگان'!$E78=3,'طیف فازی'!$D$4,IF('امتیاز دهی خبرگان'!$E78=4,'طیف فازی'!$D$5,'طیف فازی'!$D$6)))))</f>
        <v>1</v>
      </c>
      <c r="L78" s="17">
        <f>IF('امتیاز دهی خبرگان'!$F78=0,0,IF('امتیاز دهی خبرگان'!$F78=1,'طیف فازی'!$B$2,IF('امتیاز دهی خبرگان'!$F78=2,'طیف فازی'!$B$3,IF('امتیاز دهی خبرگان'!$F78=3,'طیف فازی'!$B$4,IF('امتیاز دهی خبرگان'!$F78=4,'طیف فازی'!$B$5,'طیف فازی'!$B$6)))))</f>
        <v>0.5</v>
      </c>
      <c r="M78" s="18">
        <f>IF('امتیاز دهی خبرگان'!$F78=0,0,IF('امتیاز دهی خبرگان'!$F78=1,'طیف فازی'!$C$2,IF('امتیاز دهی خبرگان'!$F78=2,'طیف فازی'!$C$3,IF('امتیاز دهی خبرگان'!$F78=3,'طیف فازی'!$C$4,IF('امتیاز دهی خبرگان'!$F78=4,'طیف فازی'!$C$5,'طیف فازی'!$C$6)))))</f>
        <v>0.75</v>
      </c>
      <c r="N78" s="19">
        <f>IF('امتیاز دهی خبرگان'!$F78=0,0,IF('امتیاز دهی خبرگان'!$F78=1,'طیف فازی'!$D$2,IF('امتیاز دهی خبرگان'!$F78=2,'طیف فازی'!$D$3,IF('امتیاز دهی خبرگان'!$F78=3,'طیف فازی'!$D$4,IF('امتیاز دهی خبرگان'!$F78=4,'طیف فازی'!$D$5,'طیف فازی'!$D$6)))))</f>
        <v>1</v>
      </c>
      <c r="O78" s="17">
        <f>IF('امتیاز دهی خبرگان'!$G78=0,0,IF('امتیاز دهی خبرگان'!$G78=1,'طیف فازی'!$B$2,IF('امتیاز دهی خبرگان'!$G78=2,'طیف فازی'!$B$3,IF('امتیاز دهی خبرگان'!$G78=3,'طیف فازی'!$B$4,IF('امتیاز دهی خبرگان'!$G78=4,'طیف فازی'!$B$5,'طیف فازی'!$B$6)))))</f>
        <v>0.25</v>
      </c>
      <c r="P78" s="18">
        <f>IF('امتیاز دهی خبرگان'!$G78=0,0,IF('امتیاز دهی خبرگان'!$G78=1,'طیف فازی'!$C$2,IF('امتیاز دهی خبرگان'!$G78=2,'طیف فازی'!$C$3,IF('امتیاز دهی خبرگان'!$G78=3,'طیف فازی'!$C$4,IF('امتیاز دهی خبرگان'!$G78=4,'طیف فازی'!$C$5,'طیف فازی'!$C$6)))))</f>
        <v>0.5</v>
      </c>
      <c r="Q78" s="19">
        <f>IF('امتیاز دهی خبرگان'!$G78=0,0,IF('امتیاز دهی خبرگان'!$G78=1,'طیف فازی'!$D$2,IF('امتیاز دهی خبرگان'!$G78=2,'طیف فازی'!$D$3,IF('امتیاز دهی خبرگان'!$G78=3,'طیف فازی'!$D$4,IF('امتیاز دهی خبرگان'!$G78=4,'طیف فازی'!$D$5,'طیف فازی'!$D$6)))))</f>
        <v>0.75</v>
      </c>
      <c r="R78" s="17">
        <f>IF('امتیاز دهی خبرگان'!$H78=0,0,IF('امتیاز دهی خبرگان'!$H78=1,'طیف فازی'!$B$2,IF('امتیاز دهی خبرگان'!$H78=2,'طیف فازی'!$B$3,IF('امتیاز دهی خبرگان'!$H78=3,'طیف فازی'!$B$4,IF('امتیاز دهی خبرگان'!$H78=4,'طیف فازی'!$B$5,'طیف فازی'!$B$6)))))</f>
        <v>0.5</v>
      </c>
      <c r="S78" s="18">
        <f>IF('امتیاز دهی خبرگان'!$H78=0,0,IF('امتیاز دهی خبرگان'!$H78=1,'طیف فازی'!$C$2,IF('امتیاز دهی خبرگان'!$H78=2,'طیف فازی'!$C$3,IF('امتیاز دهی خبرگان'!$H78=3,'طیف فازی'!$C$4,IF('امتیاز دهی خبرگان'!$H78=4,'طیف فازی'!$C$5,'طیف فازی'!$C$6)))))</f>
        <v>0.75</v>
      </c>
      <c r="T78" s="19">
        <f>IF('امتیاز دهی خبرگان'!$H78=0,0,IF('امتیاز دهی خبرگان'!$H78=1,'طیف فازی'!$D$2,IF('امتیاز دهی خبرگان'!$H78=2,'طیف فازی'!$D$3,IF('امتیاز دهی خبرگان'!$H78=3,'طیف فازی'!$D$4,IF('امتیاز دهی خبرگان'!$H78=4,'طیف فازی'!$D$5,'طیف فازی'!$D$6)))))</f>
        <v>1</v>
      </c>
      <c r="U78" s="17">
        <f>IF('امتیاز دهی خبرگان'!$I78=0,0,IF('امتیاز دهی خبرگان'!$I78=1,'طیف فازی'!$B$2,IF('امتیاز دهی خبرگان'!$I78=2,'طیف فازی'!$B$3,IF('امتیاز دهی خبرگان'!$I78=3,'طیف فازی'!$B$4,IF('امتیاز دهی خبرگان'!$I78=4,'طیف فازی'!$B$5,'طیف فازی'!$B$6)))))</f>
        <v>0.5</v>
      </c>
      <c r="V78" s="18">
        <f>IF('امتیاز دهی خبرگان'!$I78=0,0,IF('امتیاز دهی خبرگان'!$I78=1,'طیف فازی'!$C$2,IF('امتیاز دهی خبرگان'!$I78=2,'طیف فازی'!$C$3,IF('امتیاز دهی خبرگان'!$I78=3,'طیف فازی'!$C$4,IF('امتیاز دهی خبرگان'!$I78=4,'طیف فازی'!$C$5,'طیف فازی'!$C$6)))))</f>
        <v>0.75</v>
      </c>
      <c r="W78" s="19">
        <f>IF('امتیاز دهی خبرگان'!$I78=0,0,IF('امتیاز دهی خبرگان'!$I78=1,'طیف فازی'!$D$2,IF('امتیاز دهی خبرگان'!$I78=2,'طیف فازی'!$D$3,IF('امتیاز دهی خبرگان'!$I78=3,'طیف فازی'!$D$4,IF('امتیاز دهی خبرگان'!$I78=4,'طیف فازی'!$D$5,'طیف فازی'!$D$6)))))</f>
        <v>1</v>
      </c>
      <c r="X78" s="17">
        <f>IF('امتیاز دهی خبرگان'!$J78=0,0,IF('امتیاز دهی خبرگان'!$J78=1,'طیف فازی'!$B$2,IF('امتیاز دهی خبرگان'!$J78=2,'طیف فازی'!$B$3,IF('امتیاز دهی خبرگان'!$J78=3,'طیف فازی'!$B$4,IF('امتیاز دهی خبرگان'!$J78=4,'طیف فازی'!$B$5,'طیف فازی'!$B$6)))))</f>
        <v>0.5</v>
      </c>
      <c r="Y78" s="18">
        <f>IF('امتیاز دهی خبرگان'!$J78=0,0,IF('امتیاز دهی خبرگان'!$J78=1,'طیف فازی'!$C$2,IF('امتیاز دهی خبرگان'!$J78=2,'طیف فازی'!$C$3,IF('امتیاز دهی خبرگان'!$J78=3,'طیف فازی'!$C$4,IF('امتیاز دهی خبرگان'!$J78=4,'طیف فازی'!$C$5,'طیف فازی'!$C$6)))))</f>
        <v>0.75</v>
      </c>
      <c r="Z78" s="19">
        <f>IF('امتیاز دهی خبرگان'!$J78=0,0,IF('امتیاز دهی خبرگان'!$J78=1,'طیف فازی'!$D$2,IF('امتیاز دهی خبرگان'!$J78=2,'طیف فازی'!$D$3,IF('امتیاز دهی خبرگان'!$J78=3,'طیف فازی'!$D$4,IF('امتیاز دهی خبرگان'!$J78=4,'طیف فازی'!$D$5,'طیف فازی'!$D$6)))))</f>
        <v>1</v>
      </c>
      <c r="AA78" s="17">
        <f>IF('امتیاز دهی خبرگان'!$K78=0,0,IF('امتیاز دهی خبرگان'!$K78=1,'طیف فازی'!$B$2,IF('امتیاز دهی خبرگان'!$K78=2,'طیف فازی'!$B$3,IF('امتیاز دهی خبرگان'!$K78=3,'طیف فازی'!$B$4,IF('امتیاز دهی خبرگان'!$K78=4,'طیف فازی'!$B$5,'طیف فازی'!$B$6)))))</f>
        <v>0.75</v>
      </c>
      <c r="AB78" s="18">
        <f>IF('امتیاز دهی خبرگان'!$K78=0,0,IF('امتیاز دهی خبرگان'!$K78=1,'طیف فازی'!$C$2,IF('امتیاز دهی خبرگان'!$K78=2,'طیف فازی'!$C$3,IF('امتیاز دهی خبرگان'!$K78=3,'طیف فازی'!$C$4,IF('امتیاز دهی خبرگان'!$K78=4,'طیف فازی'!$C$5,'طیف فازی'!$C$6)))))</f>
        <v>1</v>
      </c>
      <c r="AC78" s="19">
        <f>IF('امتیاز دهی خبرگان'!$K78=0,0,IF('امتیاز دهی خبرگان'!$K78=1,'طیف فازی'!$D$2,IF('امتیاز دهی خبرگان'!$K78=2,'طیف فازی'!$D$3,IF('امتیاز دهی خبرگان'!$K78=3,'طیف فازی'!$D$4,IF('امتیاز دهی خبرگان'!$K78=4,'طیف فازی'!$D$5,'طیف فازی'!$D$6)))))</f>
        <v>1</v>
      </c>
      <c r="AD78" s="17">
        <f>IF('امتیاز دهی خبرگان'!$L78=0,0,IF('امتیاز دهی خبرگان'!$L78=1,'طیف فازی'!$B$2,IF('امتیاز دهی خبرگان'!$L78=2,'طیف فازی'!$B$3,IF('امتیاز دهی خبرگان'!$L78=3,'طیف فازی'!$B$4,IF('امتیاز دهی خبرگان'!$L78=4,'طیف فازی'!$B$5,'طیف فازی'!$B$6)))))</f>
        <v>0.5</v>
      </c>
      <c r="AE78" s="18">
        <f>IF('امتیاز دهی خبرگان'!$L78=0,0,IF('امتیاز دهی خبرگان'!$L78=1,'طیف فازی'!$C$2,IF('امتیاز دهی خبرگان'!$L78=2,'طیف فازی'!$C$3,IF('امتیاز دهی خبرگان'!$L78=3,'طیف فازی'!$C$4,IF('امتیاز دهی خبرگان'!$L78=4,'طیف فازی'!$C$5,'طیف فازی'!$C$6)))))</f>
        <v>0.75</v>
      </c>
      <c r="AF78" s="19">
        <f>IF('امتیاز دهی خبرگان'!$L78=0,0,IF('امتیاز دهی خبرگان'!$L78=1,'طیف فازی'!$D$2,IF('امتیاز دهی خبرگان'!$L78=2,'طیف فازی'!$D$3,IF('امتیاز دهی خبرگان'!$L78=3,'طیف فازی'!$D$4,IF('امتیاز دهی خبرگان'!$L78=4,'طیف فازی'!$D$5,'طیف فازی'!$D$6)))))</f>
        <v>1</v>
      </c>
      <c r="AG78" s="17">
        <f>IF('امتیاز دهی خبرگان'!$M78=0,0,IF('امتیاز دهی خبرگان'!$M78=1,'طیف فازی'!$B$2,IF('امتیاز دهی خبرگان'!$M78=2,'طیف فازی'!$B$3,IF('امتیاز دهی خبرگان'!$M78=3,'طیف فازی'!$B$4,IF('امتیاز دهی خبرگان'!$M78=4,'طیف فازی'!$B$5,'طیف فازی'!$B$6)))))</f>
        <v>0.5</v>
      </c>
      <c r="AH78" s="18">
        <f>IF('امتیاز دهی خبرگان'!$M78=0,0,IF('امتیاز دهی خبرگان'!$M78=1,'طیف فازی'!$C$2,IF('امتیاز دهی خبرگان'!$M78=2,'طیف فازی'!$C$3,IF('امتیاز دهی خبرگان'!$M78=3,'طیف فازی'!$C$4,IF('امتیاز دهی خبرگان'!$M78=4,'طیف فازی'!$C$5,'طیف فازی'!$C$6)))))</f>
        <v>0.75</v>
      </c>
      <c r="AI78" s="19">
        <f>IF('امتیاز دهی خبرگان'!$M78=0,0,IF('امتیاز دهی خبرگان'!$M78=1,'طیف فازی'!$D$2,IF('امتیاز دهی خبرگان'!$M78=2,'طیف فازی'!$D$3,IF('امتیاز دهی خبرگان'!$M78=3,'طیف فازی'!$D$4,IF('امتیاز دهی خبرگان'!$M78=4,'طیف فازی'!$D$5,'طیف فازی'!$D$6)))))</f>
        <v>1</v>
      </c>
      <c r="AJ78" s="17">
        <f>IF('امتیاز دهی خبرگان'!$N78=0,0,IF('امتیاز دهی خبرگان'!$N78=1,'طیف فازی'!$B$2,IF('امتیاز دهی خبرگان'!$N78=2,'طیف فازی'!$B$3,IF('امتیاز دهی خبرگان'!$N78=3,'طیف فازی'!$B$4,IF('امتیاز دهی خبرگان'!$N78=4,'طیف فازی'!$B$5,'طیف فازی'!$B$6)))))</f>
        <v>0.75</v>
      </c>
      <c r="AK78" s="18">
        <f>IF('امتیاز دهی خبرگان'!$N78=0,0,IF('امتیاز دهی خبرگان'!$N78=1,'طیف فازی'!$C$2,IF('امتیاز دهی خبرگان'!$N78=2,'طیف فازی'!$C$3,IF('امتیاز دهی خبرگان'!$N78=3,'طیف فازی'!$C$4,IF('امتیاز دهی خبرگان'!$N78=4,'طیف فازی'!$C$5,'طیف فازی'!$C$6)))))</f>
        <v>1</v>
      </c>
      <c r="AL78" s="19">
        <f>IF('امتیاز دهی خبرگان'!$N78=0,0,IF('امتیاز دهی خبرگان'!$N78=1,'طیف فازی'!$D$2,IF('امتیاز دهی خبرگان'!$N78=2,'طیف فازی'!$D$3,IF('امتیاز دهی خبرگان'!$N78=3,'طیف فازی'!$D$4,IF('امتیاز دهی خبرگان'!$N78=4,'طیف فازی'!$D$5,'طیف فازی'!$D$6)))))</f>
        <v>1</v>
      </c>
      <c r="AM78" s="23">
        <f t="shared" si="9"/>
        <v>6.5</v>
      </c>
      <c r="AN78" s="23">
        <f t="shared" si="10"/>
        <v>9.5</v>
      </c>
      <c r="AO78" s="24">
        <f t="shared" si="11"/>
        <v>11.75</v>
      </c>
      <c r="AP78" s="25">
        <f t="shared" si="12"/>
        <v>0.54166666666666663</v>
      </c>
      <c r="AQ78" s="23">
        <f t="shared" si="13"/>
        <v>0.79166666666666663</v>
      </c>
      <c r="AR78" s="24">
        <f t="shared" si="14"/>
        <v>0.97916666666666663</v>
      </c>
      <c r="AS78" s="24">
        <f t="shared" si="15"/>
        <v>0.77083333333333337</v>
      </c>
      <c r="AT78" s="24" t="str">
        <f t="shared" si="16"/>
        <v>Pass</v>
      </c>
    </row>
    <row r="79" spans="2:46" ht="23.25" customHeight="1" thickBot="1" x14ac:dyDescent="0.85">
      <c r="B79" s="2">
        <v>75</v>
      </c>
      <c r="C79" s="17">
        <f>IF('امتیاز دهی خبرگان'!$C79=0,0,IF('امتیاز دهی خبرگان'!$C79=1,'طیف فازی'!$B$2,IF('امتیاز دهی خبرگان'!$C79=2,'طیف فازی'!$B$3,IF('امتیاز دهی خبرگان'!$C79=3,'طیف فازی'!$B$4,IF('امتیاز دهی خبرگان'!$C79=4,'طیف فازی'!$B$5,'طیف فازی'!$B$6)))))</f>
        <v>0.75</v>
      </c>
      <c r="D79" s="18">
        <f>IF('امتیاز دهی خبرگان'!$C79=0,0,IF('امتیاز دهی خبرگان'!$C79=1,'طیف فازی'!$C$2,IF('امتیاز دهی خبرگان'!$C79=2,'طیف فازی'!$C$3,IF('امتیاز دهی خبرگان'!$C79=3,'طیف فازی'!$C$4,IF('امتیاز دهی خبرگان'!$C79=4,'طیف فازی'!$C$5,'طیف فازی'!$C$6)))))</f>
        <v>1</v>
      </c>
      <c r="E79" s="19">
        <f>IF('امتیاز دهی خبرگان'!$C79=0,0,IF('امتیاز دهی خبرگان'!$C79=1,'طیف فازی'!$D$2,IF('امتیاز دهی خبرگان'!$C79=2,'طیف فازی'!$D$3,IF('امتیاز دهی خبرگان'!$C79=3,'طیف فازی'!$D$4,IF('امتیاز دهی خبرگان'!$C79=4,'طیف فازی'!$D$5,'طیف فازی'!$D$6)))))</f>
        <v>1</v>
      </c>
      <c r="F79" s="20">
        <f>IF('امتیاز دهی خبرگان'!$D79=0,0,IF('امتیاز دهی خبرگان'!$D79=1,'طیف فازی'!$B$2,IF('امتیاز دهی خبرگان'!$D79=2,'طیف فازی'!$B$3,IF('امتیاز دهی خبرگان'!$D79=3,'طیف فازی'!$B$4,IF('امتیاز دهی خبرگان'!$D79=4,'طیف فازی'!$B$5,'طیف فازی'!$B$6)))))</f>
        <v>0.5</v>
      </c>
      <c r="G79" s="21">
        <f>IF('امتیاز دهی خبرگان'!$D79=0,0,IF('امتیاز دهی خبرگان'!$D79=1,'طیف فازی'!$D$2,IF('امتیاز دهی خبرگان'!$D79=2,'طیف فازی'!$C$3,IF('امتیاز دهی خبرگان'!$D79=3,'طیف فازی'!$C$4,IF('امتیاز دهی خبرگان'!$D79=4,'طیف فازی'!$C$5,'طیف فازی'!$C$6)))))</f>
        <v>0.75</v>
      </c>
      <c r="H79" s="22">
        <f>IF('امتیاز دهی خبرگان'!$D79=0,0,IF('امتیاز دهی خبرگان'!$D79=1,'طیف فازی'!$D$2,IF('امتیاز دهی خبرگان'!$D79=2,'طیف فازی'!$D$3,IF('امتیاز دهی خبرگان'!$D79=3,'طیف فازی'!$D$4,IF('امتیاز دهی خبرگان'!$D79=4,'طیف فازی'!$D$5,'طیف فازی'!$D$6)))))</f>
        <v>1</v>
      </c>
      <c r="I79" s="17">
        <f>IF('امتیاز دهی خبرگان'!$E79=0,0,IF('امتیاز دهی خبرگان'!$E79=1,'طیف فازی'!$B$2,IF('امتیاز دهی خبرگان'!$E79=2,'طیف فازی'!$B$3,IF('امتیاز دهی خبرگان'!$E79=3,'طیف فازی'!$B$4,IF('امتیاز دهی خبرگان'!$E79=4,'طیف فازی'!$B$5,'طیف فازی'!$B$6)))))</f>
        <v>0.75</v>
      </c>
      <c r="J79" s="18">
        <f>IF('امتیاز دهی خبرگان'!$E79=0,0,IF('امتیاز دهی خبرگان'!$E79=1,'طیف فازی'!$C$2,IF('امتیاز دهی خبرگان'!$E79=2,'طیف فازی'!$C$3,IF('امتیاز دهی خبرگان'!$E79=3,'طیف فازی'!$C$4,IF('امتیاز دهی خبرگان'!$E79=4,'طیف فازی'!$C$5,'طیف فازی'!$C$6)))))</f>
        <v>1</v>
      </c>
      <c r="K79" s="19">
        <f>IF('امتیاز دهی خبرگان'!$E79=0,0,IF('امتیاز دهی خبرگان'!$E79=1,'طیف فازی'!$D$2,IF('امتیاز دهی خبرگان'!$E79=2,'طیف فازی'!$D$3,IF('امتیاز دهی خبرگان'!$E79=3,'طیف فازی'!$D$4,IF('امتیاز دهی خبرگان'!$E79=4,'طیف فازی'!$D$5,'طیف فازی'!$D$6)))))</f>
        <v>1</v>
      </c>
      <c r="L79" s="17">
        <f>IF('امتیاز دهی خبرگان'!$F79=0,0,IF('امتیاز دهی خبرگان'!$F79=1,'طیف فازی'!$B$2,IF('امتیاز دهی خبرگان'!$F79=2,'طیف فازی'!$B$3,IF('امتیاز دهی خبرگان'!$F79=3,'طیف فازی'!$B$4,IF('امتیاز دهی خبرگان'!$F79=4,'طیف فازی'!$B$5,'طیف فازی'!$B$6)))))</f>
        <v>0.75</v>
      </c>
      <c r="M79" s="18">
        <f>IF('امتیاز دهی خبرگان'!$F79=0,0,IF('امتیاز دهی خبرگان'!$F79=1,'طیف فازی'!$C$2,IF('امتیاز دهی خبرگان'!$F79=2,'طیف فازی'!$C$3,IF('امتیاز دهی خبرگان'!$F79=3,'طیف فازی'!$C$4,IF('امتیاز دهی خبرگان'!$F79=4,'طیف فازی'!$C$5,'طیف فازی'!$C$6)))))</f>
        <v>1</v>
      </c>
      <c r="N79" s="19">
        <f>IF('امتیاز دهی خبرگان'!$F79=0,0,IF('امتیاز دهی خبرگان'!$F79=1,'طیف فازی'!$D$2,IF('امتیاز دهی خبرگان'!$F79=2,'طیف فازی'!$D$3,IF('امتیاز دهی خبرگان'!$F79=3,'طیف فازی'!$D$4,IF('امتیاز دهی خبرگان'!$F79=4,'طیف فازی'!$D$5,'طیف فازی'!$D$6)))))</f>
        <v>1</v>
      </c>
      <c r="O79" s="17">
        <f>IF('امتیاز دهی خبرگان'!$G79=0,0,IF('امتیاز دهی خبرگان'!$G79=1,'طیف فازی'!$B$2,IF('امتیاز دهی خبرگان'!$G79=2,'طیف فازی'!$B$3,IF('امتیاز دهی خبرگان'!$G79=3,'طیف فازی'!$B$4,IF('امتیاز دهی خبرگان'!$G79=4,'طیف فازی'!$B$5,'طیف فازی'!$B$6)))))</f>
        <v>0</v>
      </c>
      <c r="P79" s="18">
        <f>IF('امتیاز دهی خبرگان'!$G79=0,0,IF('امتیاز دهی خبرگان'!$G79=1,'طیف فازی'!$C$2,IF('امتیاز دهی خبرگان'!$G79=2,'طیف فازی'!$C$3,IF('امتیاز دهی خبرگان'!$G79=3,'طیف فازی'!$C$4,IF('امتیاز دهی خبرگان'!$G79=4,'طیف فازی'!$C$5,'طیف فازی'!$C$6)))))</f>
        <v>0.25</v>
      </c>
      <c r="Q79" s="19">
        <f>IF('امتیاز دهی خبرگان'!$G79=0,0,IF('امتیاز دهی خبرگان'!$G79=1,'طیف فازی'!$D$2,IF('امتیاز دهی خبرگان'!$G79=2,'طیف فازی'!$D$3,IF('امتیاز دهی خبرگان'!$G79=3,'طیف فازی'!$D$4,IF('امتیاز دهی خبرگان'!$G79=4,'طیف فازی'!$D$5,'طیف فازی'!$D$6)))))</f>
        <v>0.5</v>
      </c>
      <c r="R79" s="17">
        <f>IF('امتیاز دهی خبرگان'!$H79=0,0,IF('امتیاز دهی خبرگان'!$H79=1,'طیف فازی'!$B$2,IF('امتیاز دهی خبرگان'!$H79=2,'طیف فازی'!$B$3,IF('امتیاز دهی خبرگان'!$H79=3,'طیف فازی'!$B$4,IF('امتیاز دهی خبرگان'!$H79=4,'طیف فازی'!$B$5,'طیف فازی'!$B$6)))))</f>
        <v>0.25</v>
      </c>
      <c r="S79" s="18">
        <f>IF('امتیاز دهی خبرگان'!$H79=0,0,IF('امتیاز دهی خبرگان'!$H79=1,'طیف فازی'!$C$2,IF('امتیاز دهی خبرگان'!$H79=2,'طیف فازی'!$C$3,IF('امتیاز دهی خبرگان'!$H79=3,'طیف فازی'!$C$4,IF('امتیاز دهی خبرگان'!$H79=4,'طیف فازی'!$C$5,'طیف فازی'!$C$6)))))</f>
        <v>0.5</v>
      </c>
      <c r="T79" s="19">
        <f>IF('امتیاز دهی خبرگان'!$H79=0,0,IF('امتیاز دهی خبرگان'!$H79=1,'طیف فازی'!$D$2,IF('امتیاز دهی خبرگان'!$H79=2,'طیف فازی'!$D$3,IF('امتیاز دهی خبرگان'!$H79=3,'طیف فازی'!$D$4,IF('امتیاز دهی خبرگان'!$H79=4,'طیف فازی'!$D$5,'طیف فازی'!$D$6)))))</f>
        <v>0.75</v>
      </c>
      <c r="U79" s="17">
        <f>IF('امتیاز دهی خبرگان'!$I79=0,0,IF('امتیاز دهی خبرگان'!$I79=1,'طیف فازی'!$B$2,IF('امتیاز دهی خبرگان'!$I79=2,'طیف فازی'!$B$3,IF('امتیاز دهی خبرگان'!$I79=3,'طیف فازی'!$B$4,IF('امتیاز دهی خبرگان'!$I79=4,'طیف فازی'!$B$5,'طیف فازی'!$B$6)))))</f>
        <v>0.5</v>
      </c>
      <c r="V79" s="18">
        <f>IF('امتیاز دهی خبرگان'!$I79=0,0,IF('امتیاز دهی خبرگان'!$I79=1,'طیف فازی'!$C$2,IF('امتیاز دهی خبرگان'!$I79=2,'طیف فازی'!$C$3,IF('امتیاز دهی خبرگان'!$I79=3,'طیف فازی'!$C$4,IF('امتیاز دهی خبرگان'!$I79=4,'طیف فازی'!$C$5,'طیف فازی'!$C$6)))))</f>
        <v>0.75</v>
      </c>
      <c r="W79" s="19">
        <f>IF('امتیاز دهی خبرگان'!$I79=0,0,IF('امتیاز دهی خبرگان'!$I79=1,'طیف فازی'!$D$2,IF('امتیاز دهی خبرگان'!$I79=2,'طیف فازی'!$D$3,IF('امتیاز دهی خبرگان'!$I79=3,'طیف فازی'!$D$4,IF('امتیاز دهی خبرگان'!$I79=4,'طیف فازی'!$D$5,'طیف فازی'!$D$6)))))</f>
        <v>1</v>
      </c>
      <c r="X79" s="17">
        <f>IF('امتیاز دهی خبرگان'!$J79=0,0,IF('امتیاز دهی خبرگان'!$J79=1,'طیف فازی'!$B$2,IF('امتیاز دهی خبرگان'!$J79=2,'طیف فازی'!$B$3,IF('امتیاز دهی خبرگان'!$J79=3,'طیف فازی'!$B$4,IF('امتیاز دهی خبرگان'!$J79=4,'طیف فازی'!$B$5,'طیف فازی'!$B$6)))))</f>
        <v>0.5</v>
      </c>
      <c r="Y79" s="18">
        <f>IF('امتیاز دهی خبرگان'!$J79=0,0,IF('امتیاز دهی خبرگان'!$J79=1,'طیف فازی'!$C$2,IF('امتیاز دهی خبرگان'!$J79=2,'طیف فازی'!$C$3,IF('امتیاز دهی خبرگان'!$J79=3,'طیف فازی'!$C$4,IF('امتیاز دهی خبرگان'!$J79=4,'طیف فازی'!$C$5,'طیف فازی'!$C$6)))))</f>
        <v>0.75</v>
      </c>
      <c r="Z79" s="19">
        <f>IF('امتیاز دهی خبرگان'!$J79=0,0,IF('امتیاز دهی خبرگان'!$J79=1,'طیف فازی'!$D$2,IF('امتیاز دهی خبرگان'!$J79=2,'طیف فازی'!$D$3,IF('امتیاز دهی خبرگان'!$J79=3,'طیف فازی'!$D$4,IF('امتیاز دهی خبرگان'!$J79=4,'طیف فازی'!$D$5,'طیف فازی'!$D$6)))))</f>
        <v>1</v>
      </c>
      <c r="AA79" s="17">
        <f>IF('امتیاز دهی خبرگان'!$K79=0,0,IF('امتیاز دهی خبرگان'!$K79=1,'طیف فازی'!$B$2,IF('امتیاز دهی خبرگان'!$K79=2,'طیف فازی'!$B$3,IF('امتیاز دهی خبرگان'!$K79=3,'طیف فازی'!$B$4,IF('امتیاز دهی خبرگان'!$K79=4,'طیف فازی'!$B$5,'طیف فازی'!$B$6)))))</f>
        <v>0.75</v>
      </c>
      <c r="AB79" s="18">
        <f>IF('امتیاز دهی خبرگان'!$K79=0,0,IF('امتیاز دهی خبرگان'!$K79=1,'طیف فازی'!$C$2,IF('امتیاز دهی خبرگان'!$K79=2,'طیف فازی'!$C$3,IF('امتیاز دهی خبرگان'!$K79=3,'طیف فازی'!$C$4,IF('امتیاز دهی خبرگان'!$K79=4,'طیف فازی'!$C$5,'طیف فازی'!$C$6)))))</f>
        <v>1</v>
      </c>
      <c r="AC79" s="19">
        <f>IF('امتیاز دهی خبرگان'!$K79=0,0,IF('امتیاز دهی خبرگان'!$K79=1,'طیف فازی'!$D$2,IF('امتیاز دهی خبرگان'!$K79=2,'طیف فازی'!$D$3,IF('امتیاز دهی خبرگان'!$K79=3,'طیف فازی'!$D$4,IF('امتیاز دهی خبرگان'!$K79=4,'طیف فازی'!$D$5,'طیف فازی'!$D$6)))))</f>
        <v>1</v>
      </c>
      <c r="AD79" s="17">
        <f>IF('امتیاز دهی خبرگان'!$L79=0,0,IF('امتیاز دهی خبرگان'!$L79=1,'طیف فازی'!$B$2,IF('امتیاز دهی خبرگان'!$L79=2,'طیف فازی'!$B$3,IF('امتیاز دهی خبرگان'!$L79=3,'طیف فازی'!$B$4,IF('امتیاز دهی خبرگان'!$L79=4,'طیف فازی'!$B$5,'طیف فازی'!$B$6)))))</f>
        <v>0.5</v>
      </c>
      <c r="AE79" s="18">
        <f>IF('امتیاز دهی خبرگان'!$L79=0,0,IF('امتیاز دهی خبرگان'!$L79=1,'طیف فازی'!$C$2,IF('امتیاز دهی خبرگان'!$L79=2,'طیف فازی'!$C$3,IF('امتیاز دهی خبرگان'!$L79=3,'طیف فازی'!$C$4,IF('امتیاز دهی خبرگان'!$L79=4,'طیف فازی'!$C$5,'طیف فازی'!$C$6)))))</f>
        <v>0.75</v>
      </c>
      <c r="AF79" s="19">
        <f>IF('امتیاز دهی خبرگان'!$L79=0,0,IF('امتیاز دهی خبرگان'!$L79=1,'طیف فازی'!$D$2,IF('امتیاز دهی خبرگان'!$L79=2,'طیف فازی'!$D$3,IF('امتیاز دهی خبرگان'!$L79=3,'طیف فازی'!$D$4,IF('امتیاز دهی خبرگان'!$L79=4,'طیف فازی'!$D$5,'طیف فازی'!$D$6)))))</f>
        <v>1</v>
      </c>
      <c r="AG79" s="17">
        <f>IF('امتیاز دهی خبرگان'!$M79=0,0,IF('امتیاز دهی خبرگان'!$M79=1,'طیف فازی'!$B$2,IF('امتیاز دهی خبرگان'!$M79=2,'طیف فازی'!$B$3,IF('امتیاز دهی خبرگان'!$M79=3,'طیف فازی'!$B$4,IF('امتیاز دهی خبرگان'!$M79=4,'طیف فازی'!$B$5,'طیف فازی'!$B$6)))))</f>
        <v>0.5</v>
      </c>
      <c r="AH79" s="18">
        <f>IF('امتیاز دهی خبرگان'!$M79=0,0,IF('امتیاز دهی خبرگان'!$M79=1,'طیف فازی'!$C$2,IF('امتیاز دهی خبرگان'!$M79=2,'طیف فازی'!$C$3,IF('امتیاز دهی خبرگان'!$M79=3,'طیف فازی'!$C$4,IF('امتیاز دهی خبرگان'!$M79=4,'طیف فازی'!$C$5,'طیف فازی'!$C$6)))))</f>
        <v>0.75</v>
      </c>
      <c r="AI79" s="19">
        <f>IF('امتیاز دهی خبرگان'!$M79=0,0,IF('امتیاز دهی خبرگان'!$M79=1,'طیف فازی'!$D$2,IF('امتیاز دهی خبرگان'!$M79=2,'طیف فازی'!$D$3,IF('امتیاز دهی خبرگان'!$M79=3,'طیف فازی'!$D$4,IF('امتیاز دهی خبرگان'!$M79=4,'طیف فازی'!$D$5,'طیف فازی'!$D$6)))))</f>
        <v>1</v>
      </c>
      <c r="AJ79" s="17">
        <f>IF('امتیاز دهی خبرگان'!$N79=0,0,IF('امتیاز دهی خبرگان'!$N79=1,'طیف فازی'!$B$2,IF('امتیاز دهی خبرگان'!$N79=2,'طیف فازی'!$B$3,IF('امتیاز دهی خبرگان'!$N79=3,'طیف فازی'!$B$4,IF('امتیاز دهی خبرگان'!$N79=4,'طیف فازی'!$B$5,'طیف فازی'!$B$6)))))</f>
        <v>0.5</v>
      </c>
      <c r="AK79" s="18">
        <f>IF('امتیاز دهی خبرگان'!$N79=0,0,IF('امتیاز دهی خبرگان'!$N79=1,'طیف فازی'!$C$2,IF('امتیاز دهی خبرگان'!$N79=2,'طیف فازی'!$C$3,IF('امتیاز دهی خبرگان'!$N79=3,'طیف فازی'!$C$4,IF('امتیاز دهی خبرگان'!$N79=4,'طیف فازی'!$C$5,'طیف فازی'!$C$6)))))</f>
        <v>0.75</v>
      </c>
      <c r="AL79" s="19">
        <f>IF('امتیاز دهی خبرگان'!$N79=0,0,IF('امتیاز دهی خبرگان'!$N79=1,'طیف فازی'!$D$2,IF('امتیاز دهی خبرگان'!$N79=2,'طیف فازی'!$D$3,IF('امتیاز دهی خبرگان'!$N79=3,'طیف فازی'!$D$4,IF('امتیاز دهی خبرگان'!$N79=4,'طیف فازی'!$D$5,'طیف فازی'!$D$6)))))</f>
        <v>1</v>
      </c>
      <c r="AM79" s="23">
        <f t="shared" si="9"/>
        <v>6.25</v>
      </c>
      <c r="AN79" s="23">
        <f t="shared" si="10"/>
        <v>9.25</v>
      </c>
      <c r="AO79" s="24">
        <f t="shared" si="11"/>
        <v>11.25</v>
      </c>
      <c r="AP79" s="25">
        <f t="shared" si="12"/>
        <v>0.52083333333333337</v>
      </c>
      <c r="AQ79" s="23">
        <f t="shared" si="13"/>
        <v>0.77083333333333337</v>
      </c>
      <c r="AR79" s="24">
        <f t="shared" si="14"/>
        <v>0.9375</v>
      </c>
      <c r="AS79" s="24">
        <f t="shared" si="15"/>
        <v>0.74305555555555569</v>
      </c>
      <c r="AT79" s="24" t="str">
        <f t="shared" si="16"/>
        <v>Pass</v>
      </c>
    </row>
    <row r="80" spans="2:46" ht="23.25" customHeight="1" thickBot="1" x14ac:dyDescent="0.85">
      <c r="B80" s="2">
        <v>76</v>
      </c>
      <c r="C80" s="17">
        <f>IF('امتیاز دهی خبرگان'!$C80=0,0,IF('امتیاز دهی خبرگان'!$C80=1,'طیف فازی'!$B$2,IF('امتیاز دهی خبرگان'!$C80=2,'طیف فازی'!$B$3,IF('امتیاز دهی خبرگان'!$C80=3,'طیف فازی'!$B$4,IF('امتیاز دهی خبرگان'!$C80=4,'طیف فازی'!$B$5,'طیف فازی'!$B$6)))))</f>
        <v>0.5</v>
      </c>
      <c r="D80" s="18">
        <f>IF('امتیاز دهی خبرگان'!$C80=0,0,IF('امتیاز دهی خبرگان'!$C80=1,'طیف فازی'!$C$2,IF('امتیاز دهی خبرگان'!$C80=2,'طیف فازی'!$C$3,IF('امتیاز دهی خبرگان'!$C80=3,'طیف فازی'!$C$4,IF('امتیاز دهی خبرگان'!$C80=4,'طیف فازی'!$C$5,'طیف فازی'!$C$6)))))</f>
        <v>0.75</v>
      </c>
      <c r="E80" s="19">
        <f>IF('امتیاز دهی خبرگان'!$C80=0,0,IF('امتیاز دهی خبرگان'!$C80=1,'طیف فازی'!$D$2,IF('امتیاز دهی خبرگان'!$C80=2,'طیف فازی'!$D$3,IF('امتیاز دهی خبرگان'!$C80=3,'طیف فازی'!$D$4,IF('امتیاز دهی خبرگان'!$C80=4,'طیف فازی'!$D$5,'طیف فازی'!$D$6)))))</f>
        <v>1</v>
      </c>
      <c r="F80" s="20">
        <f>IF('امتیاز دهی خبرگان'!$D80=0,0,IF('امتیاز دهی خبرگان'!$D80=1,'طیف فازی'!$B$2,IF('امتیاز دهی خبرگان'!$D80=2,'طیف فازی'!$B$3,IF('امتیاز دهی خبرگان'!$D80=3,'طیف فازی'!$B$4,IF('امتیاز دهی خبرگان'!$D80=4,'طیف فازی'!$B$5,'طیف فازی'!$B$6)))))</f>
        <v>0.5</v>
      </c>
      <c r="G80" s="21">
        <f>IF('امتیاز دهی خبرگان'!$D80=0,0,IF('امتیاز دهی خبرگان'!$D80=1,'طیف فازی'!$D$2,IF('امتیاز دهی خبرگان'!$D80=2,'طیف فازی'!$C$3,IF('امتیاز دهی خبرگان'!$D80=3,'طیف فازی'!$C$4,IF('امتیاز دهی خبرگان'!$D80=4,'طیف فازی'!$C$5,'طیف فازی'!$C$6)))))</f>
        <v>0.75</v>
      </c>
      <c r="H80" s="22">
        <f>IF('امتیاز دهی خبرگان'!$D80=0,0,IF('امتیاز دهی خبرگان'!$D80=1,'طیف فازی'!$D$2,IF('امتیاز دهی خبرگان'!$D80=2,'طیف فازی'!$D$3,IF('امتیاز دهی خبرگان'!$D80=3,'طیف فازی'!$D$4,IF('امتیاز دهی خبرگان'!$D80=4,'طیف فازی'!$D$5,'طیف فازی'!$D$6)))))</f>
        <v>1</v>
      </c>
      <c r="I80" s="17">
        <f>IF('امتیاز دهی خبرگان'!$E80=0,0,IF('امتیاز دهی خبرگان'!$E80=1,'طیف فازی'!$B$2,IF('امتیاز دهی خبرگان'!$E80=2,'طیف فازی'!$B$3,IF('امتیاز دهی خبرگان'!$E80=3,'طیف فازی'!$B$4,IF('امتیاز دهی خبرگان'!$E80=4,'طیف فازی'!$B$5,'طیف فازی'!$B$6)))))</f>
        <v>0.5</v>
      </c>
      <c r="J80" s="18">
        <f>IF('امتیاز دهی خبرگان'!$E80=0,0,IF('امتیاز دهی خبرگان'!$E80=1,'طیف فازی'!$C$2,IF('امتیاز دهی خبرگان'!$E80=2,'طیف فازی'!$C$3,IF('امتیاز دهی خبرگان'!$E80=3,'طیف فازی'!$C$4,IF('امتیاز دهی خبرگان'!$E80=4,'طیف فازی'!$C$5,'طیف فازی'!$C$6)))))</f>
        <v>0.75</v>
      </c>
      <c r="K80" s="19">
        <f>IF('امتیاز دهی خبرگان'!$E80=0,0,IF('امتیاز دهی خبرگان'!$E80=1,'طیف فازی'!$D$2,IF('امتیاز دهی خبرگان'!$E80=2,'طیف فازی'!$D$3,IF('امتیاز دهی خبرگان'!$E80=3,'طیف فازی'!$D$4,IF('امتیاز دهی خبرگان'!$E80=4,'طیف فازی'!$D$5,'طیف فازی'!$D$6)))))</f>
        <v>1</v>
      </c>
      <c r="L80" s="17">
        <f>IF('امتیاز دهی خبرگان'!$F80=0,0,IF('امتیاز دهی خبرگان'!$F80=1,'طیف فازی'!$B$2,IF('امتیاز دهی خبرگان'!$F80=2,'طیف فازی'!$B$3,IF('امتیاز دهی خبرگان'!$F80=3,'طیف فازی'!$B$4,IF('امتیاز دهی خبرگان'!$F80=4,'طیف فازی'!$B$5,'طیف فازی'!$B$6)))))</f>
        <v>0.75</v>
      </c>
      <c r="M80" s="18">
        <f>IF('امتیاز دهی خبرگان'!$F80=0,0,IF('امتیاز دهی خبرگان'!$F80=1,'طیف فازی'!$C$2,IF('امتیاز دهی خبرگان'!$F80=2,'طیف فازی'!$C$3,IF('امتیاز دهی خبرگان'!$F80=3,'طیف فازی'!$C$4,IF('امتیاز دهی خبرگان'!$F80=4,'طیف فازی'!$C$5,'طیف فازی'!$C$6)))))</f>
        <v>1</v>
      </c>
      <c r="N80" s="19">
        <f>IF('امتیاز دهی خبرگان'!$F80=0,0,IF('امتیاز دهی خبرگان'!$F80=1,'طیف فازی'!$D$2,IF('امتیاز دهی خبرگان'!$F80=2,'طیف فازی'!$D$3,IF('امتیاز دهی خبرگان'!$F80=3,'طیف فازی'!$D$4,IF('امتیاز دهی خبرگان'!$F80=4,'طیف فازی'!$D$5,'طیف فازی'!$D$6)))))</f>
        <v>1</v>
      </c>
      <c r="O80" s="17">
        <f>IF('امتیاز دهی خبرگان'!$G80=0,0,IF('امتیاز دهی خبرگان'!$G80=1,'طیف فازی'!$B$2,IF('امتیاز دهی خبرگان'!$G80=2,'طیف فازی'!$B$3,IF('امتیاز دهی خبرگان'!$G80=3,'طیف فازی'!$B$4,IF('امتیاز دهی خبرگان'!$G80=4,'طیف فازی'!$B$5,'طیف فازی'!$B$6)))))</f>
        <v>0.5</v>
      </c>
      <c r="P80" s="18">
        <f>IF('امتیاز دهی خبرگان'!$G80=0,0,IF('امتیاز دهی خبرگان'!$G80=1,'طیف فازی'!$C$2,IF('امتیاز دهی خبرگان'!$G80=2,'طیف فازی'!$C$3,IF('امتیاز دهی خبرگان'!$G80=3,'طیف فازی'!$C$4,IF('امتیاز دهی خبرگان'!$G80=4,'طیف فازی'!$C$5,'طیف فازی'!$C$6)))))</f>
        <v>0.75</v>
      </c>
      <c r="Q80" s="19">
        <f>IF('امتیاز دهی خبرگان'!$G80=0,0,IF('امتیاز دهی خبرگان'!$G80=1,'طیف فازی'!$D$2,IF('امتیاز دهی خبرگان'!$G80=2,'طیف فازی'!$D$3,IF('امتیاز دهی خبرگان'!$G80=3,'طیف فازی'!$D$4,IF('امتیاز دهی خبرگان'!$G80=4,'طیف فازی'!$D$5,'طیف فازی'!$D$6)))))</f>
        <v>1</v>
      </c>
      <c r="R80" s="17">
        <f>IF('امتیاز دهی خبرگان'!$H80=0,0,IF('امتیاز دهی خبرگان'!$H80=1,'طیف فازی'!$B$2,IF('امتیاز دهی خبرگان'!$H80=2,'طیف فازی'!$B$3,IF('امتیاز دهی خبرگان'!$H80=3,'طیف فازی'!$B$4,IF('امتیاز دهی خبرگان'!$H80=4,'طیف فازی'!$B$5,'طیف فازی'!$B$6)))))</f>
        <v>0.25</v>
      </c>
      <c r="S80" s="18">
        <f>IF('امتیاز دهی خبرگان'!$H80=0,0,IF('امتیاز دهی خبرگان'!$H80=1,'طیف فازی'!$C$2,IF('امتیاز دهی خبرگان'!$H80=2,'طیف فازی'!$C$3,IF('امتیاز دهی خبرگان'!$H80=3,'طیف فازی'!$C$4,IF('امتیاز دهی خبرگان'!$H80=4,'طیف فازی'!$C$5,'طیف فازی'!$C$6)))))</f>
        <v>0.5</v>
      </c>
      <c r="T80" s="19">
        <f>IF('امتیاز دهی خبرگان'!$H80=0,0,IF('امتیاز دهی خبرگان'!$H80=1,'طیف فازی'!$D$2,IF('امتیاز دهی خبرگان'!$H80=2,'طیف فازی'!$D$3,IF('امتیاز دهی خبرگان'!$H80=3,'طیف فازی'!$D$4,IF('امتیاز دهی خبرگان'!$H80=4,'طیف فازی'!$D$5,'طیف فازی'!$D$6)))))</f>
        <v>0.75</v>
      </c>
      <c r="U80" s="17">
        <f>IF('امتیاز دهی خبرگان'!$I80=0,0,IF('امتیاز دهی خبرگان'!$I80=1,'طیف فازی'!$B$2,IF('امتیاز دهی خبرگان'!$I80=2,'طیف فازی'!$B$3,IF('امتیاز دهی خبرگان'!$I80=3,'طیف فازی'!$B$4,IF('امتیاز دهی خبرگان'!$I80=4,'طیف فازی'!$B$5,'طیف فازی'!$B$6)))))</f>
        <v>0.75</v>
      </c>
      <c r="V80" s="18">
        <f>IF('امتیاز دهی خبرگان'!$I80=0,0,IF('امتیاز دهی خبرگان'!$I80=1,'طیف فازی'!$C$2,IF('امتیاز دهی خبرگان'!$I80=2,'طیف فازی'!$C$3,IF('امتیاز دهی خبرگان'!$I80=3,'طیف فازی'!$C$4,IF('امتیاز دهی خبرگان'!$I80=4,'طیف فازی'!$C$5,'طیف فازی'!$C$6)))))</f>
        <v>1</v>
      </c>
      <c r="W80" s="19">
        <f>IF('امتیاز دهی خبرگان'!$I80=0,0,IF('امتیاز دهی خبرگان'!$I80=1,'طیف فازی'!$D$2,IF('امتیاز دهی خبرگان'!$I80=2,'طیف فازی'!$D$3,IF('امتیاز دهی خبرگان'!$I80=3,'طیف فازی'!$D$4,IF('امتیاز دهی خبرگان'!$I80=4,'طیف فازی'!$D$5,'طیف فازی'!$D$6)))))</f>
        <v>1</v>
      </c>
      <c r="X80" s="17">
        <f>IF('امتیاز دهی خبرگان'!$J80=0,0,IF('امتیاز دهی خبرگان'!$J80=1,'طیف فازی'!$B$2,IF('امتیاز دهی خبرگان'!$J80=2,'طیف فازی'!$B$3,IF('امتیاز دهی خبرگان'!$J80=3,'طیف فازی'!$B$4,IF('امتیاز دهی خبرگان'!$J80=4,'طیف فازی'!$B$5,'طیف فازی'!$B$6)))))</f>
        <v>0.5</v>
      </c>
      <c r="Y80" s="18">
        <f>IF('امتیاز دهی خبرگان'!$J80=0,0,IF('امتیاز دهی خبرگان'!$J80=1,'طیف فازی'!$C$2,IF('امتیاز دهی خبرگان'!$J80=2,'طیف فازی'!$C$3,IF('امتیاز دهی خبرگان'!$J80=3,'طیف فازی'!$C$4,IF('امتیاز دهی خبرگان'!$J80=4,'طیف فازی'!$C$5,'طیف فازی'!$C$6)))))</f>
        <v>0.75</v>
      </c>
      <c r="Z80" s="19">
        <f>IF('امتیاز دهی خبرگان'!$J80=0,0,IF('امتیاز دهی خبرگان'!$J80=1,'طیف فازی'!$D$2,IF('امتیاز دهی خبرگان'!$J80=2,'طیف فازی'!$D$3,IF('امتیاز دهی خبرگان'!$J80=3,'طیف فازی'!$D$4,IF('امتیاز دهی خبرگان'!$J80=4,'طیف فازی'!$D$5,'طیف فازی'!$D$6)))))</f>
        <v>1</v>
      </c>
      <c r="AA80" s="17">
        <f>IF('امتیاز دهی خبرگان'!$K80=0,0,IF('امتیاز دهی خبرگان'!$K80=1,'طیف فازی'!$B$2,IF('امتیاز دهی خبرگان'!$K80=2,'طیف فازی'!$B$3,IF('امتیاز دهی خبرگان'!$K80=3,'طیف فازی'!$B$4,IF('امتیاز دهی خبرگان'!$K80=4,'طیف فازی'!$B$5,'طیف فازی'!$B$6)))))</f>
        <v>0.5</v>
      </c>
      <c r="AB80" s="18">
        <f>IF('امتیاز دهی خبرگان'!$K80=0,0,IF('امتیاز دهی خبرگان'!$K80=1,'طیف فازی'!$C$2,IF('امتیاز دهی خبرگان'!$K80=2,'طیف فازی'!$C$3,IF('امتیاز دهی خبرگان'!$K80=3,'طیف فازی'!$C$4,IF('امتیاز دهی خبرگان'!$K80=4,'طیف فازی'!$C$5,'طیف فازی'!$C$6)))))</f>
        <v>0.75</v>
      </c>
      <c r="AC80" s="19">
        <f>IF('امتیاز دهی خبرگان'!$K80=0,0,IF('امتیاز دهی خبرگان'!$K80=1,'طیف فازی'!$D$2,IF('امتیاز دهی خبرگان'!$K80=2,'طیف فازی'!$D$3,IF('امتیاز دهی خبرگان'!$K80=3,'طیف فازی'!$D$4,IF('امتیاز دهی خبرگان'!$K80=4,'طیف فازی'!$D$5,'طیف فازی'!$D$6)))))</f>
        <v>1</v>
      </c>
      <c r="AD80" s="17">
        <f>IF('امتیاز دهی خبرگان'!$L80=0,0,IF('امتیاز دهی خبرگان'!$L80=1,'طیف فازی'!$B$2,IF('امتیاز دهی خبرگان'!$L80=2,'طیف فازی'!$B$3,IF('امتیاز دهی خبرگان'!$L80=3,'طیف فازی'!$B$4,IF('امتیاز دهی خبرگان'!$L80=4,'طیف فازی'!$B$5,'طیف فازی'!$B$6)))))</f>
        <v>0.5</v>
      </c>
      <c r="AE80" s="18">
        <f>IF('امتیاز دهی خبرگان'!$L80=0,0,IF('امتیاز دهی خبرگان'!$L80=1,'طیف فازی'!$C$2,IF('امتیاز دهی خبرگان'!$L80=2,'طیف فازی'!$C$3,IF('امتیاز دهی خبرگان'!$L80=3,'طیف فازی'!$C$4,IF('امتیاز دهی خبرگان'!$L80=4,'طیف فازی'!$C$5,'طیف فازی'!$C$6)))))</f>
        <v>0.75</v>
      </c>
      <c r="AF80" s="19">
        <f>IF('امتیاز دهی خبرگان'!$L80=0,0,IF('امتیاز دهی خبرگان'!$L80=1,'طیف فازی'!$D$2,IF('امتیاز دهی خبرگان'!$L80=2,'طیف فازی'!$D$3,IF('امتیاز دهی خبرگان'!$L80=3,'طیف فازی'!$D$4,IF('امتیاز دهی خبرگان'!$L80=4,'طیف فازی'!$D$5,'طیف فازی'!$D$6)))))</f>
        <v>1</v>
      </c>
      <c r="AG80" s="17">
        <f>IF('امتیاز دهی خبرگان'!$M80=0,0,IF('امتیاز دهی خبرگان'!$M80=1,'طیف فازی'!$B$2,IF('امتیاز دهی خبرگان'!$M80=2,'طیف فازی'!$B$3,IF('امتیاز دهی خبرگان'!$M80=3,'طیف فازی'!$B$4,IF('امتیاز دهی خبرگان'!$M80=4,'طیف فازی'!$B$5,'طیف فازی'!$B$6)))))</f>
        <v>0.5</v>
      </c>
      <c r="AH80" s="18">
        <f>IF('امتیاز دهی خبرگان'!$M80=0,0,IF('امتیاز دهی خبرگان'!$M80=1,'طیف فازی'!$C$2,IF('امتیاز دهی خبرگان'!$M80=2,'طیف فازی'!$C$3,IF('امتیاز دهی خبرگان'!$M80=3,'طیف فازی'!$C$4,IF('امتیاز دهی خبرگان'!$M80=4,'طیف فازی'!$C$5,'طیف فازی'!$C$6)))))</f>
        <v>0.75</v>
      </c>
      <c r="AI80" s="19">
        <f>IF('امتیاز دهی خبرگان'!$M80=0,0,IF('امتیاز دهی خبرگان'!$M80=1,'طیف فازی'!$D$2,IF('امتیاز دهی خبرگان'!$M80=2,'طیف فازی'!$D$3,IF('امتیاز دهی خبرگان'!$M80=3,'طیف فازی'!$D$4,IF('امتیاز دهی خبرگان'!$M80=4,'طیف فازی'!$D$5,'طیف فازی'!$D$6)))))</f>
        <v>1</v>
      </c>
      <c r="AJ80" s="17">
        <f>IF('امتیاز دهی خبرگان'!$N80=0,0,IF('امتیاز دهی خبرگان'!$N80=1,'طیف فازی'!$B$2,IF('امتیاز دهی خبرگان'!$N80=2,'طیف فازی'!$B$3,IF('امتیاز دهی خبرگان'!$N80=3,'طیف فازی'!$B$4,IF('امتیاز دهی خبرگان'!$N80=4,'طیف فازی'!$B$5,'طیف فازی'!$B$6)))))</f>
        <v>0.75</v>
      </c>
      <c r="AK80" s="18">
        <f>IF('امتیاز دهی خبرگان'!$N80=0,0,IF('امتیاز دهی خبرگان'!$N80=1,'طیف فازی'!$C$2,IF('امتیاز دهی خبرگان'!$N80=2,'طیف فازی'!$C$3,IF('امتیاز دهی خبرگان'!$N80=3,'طیف فازی'!$C$4,IF('امتیاز دهی خبرگان'!$N80=4,'طیف فازی'!$C$5,'طیف فازی'!$C$6)))))</f>
        <v>1</v>
      </c>
      <c r="AL80" s="19">
        <f>IF('امتیاز دهی خبرگان'!$N80=0,0,IF('امتیاز دهی خبرگان'!$N80=1,'طیف فازی'!$D$2,IF('امتیاز دهی خبرگان'!$N80=2,'طیف فازی'!$D$3,IF('امتیاز دهی خبرگان'!$N80=3,'طیف فازی'!$D$4,IF('امتیاز دهی خبرگان'!$N80=4,'طیف فازی'!$D$5,'طیف فازی'!$D$6)))))</f>
        <v>1</v>
      </c>
      <c r="AM80" s="23">
        <f t="shared" si="9"/>
        <v>6.5</v>
      </c>
      <c r="AN80" s="23">
        <f t="shared" si="10"/>
        <v>9.5</v>
      </c>
      <c r="AO80" s="24">
        <f t="shared" si="11"/>
        <v>11.75</v>
      </c>
      <c r="AP80" s="25">
        <f t="shared" si="12"/>
        <v>0.54166666666666663</v>
      </c>
      <c r="AQ80" s="23">
        <f t="shared" si="13"/>
        <v>0.79166666666666663</v>
      </c>
      <c r="AR80" s="24">
        <f t="shared" si="14"/>
        <v>0.97916666666666663</v>
      </c>
      <c r="AS80" s="24">
        <f t="shared" si="15"/>
        <v>0.77083333333333337</v>
      </c>
      <c r="AT80" s="24" t="str">
        <f t="shared" si="16"/>
        <v>Pass</v>
      </c>
    </row>
    <row r="81" spans="2:46" ht="23.25" customHeight="1" thickBot="1" x14ac:dyDescent="0.85">
      <c r="B81" s="2">
        <v>77</v>
      </c>
      <c r="C81" s="17">
        <f>IF('امتیاز دهی خبرگان'!$C81=0,0,IF('امتیاز دهی خبرگان'!$C81=1,'طیف فازی'!$B$2,IF('امتیاز دهی خبرگان'!$C81=2,'طیف فازی'!$B$3,IF('امتیاز دهی خبرگان'!$C81=3,'طیف فازی'!$B$4,IF('امتیاز دهی خبرگان'!$C81=4,'طیف فازی'!$B$5,'طیف فازی'!$B$6)))))</f>
        <v>0.75</v>
      </c>
      <c r="D81" s="18">
        <f>IF('امتیاز دهی خبرگان'!$C81=0,0,IF('امتیاز دهی خبرگان'!$C81=1,'طیف فازی'!$C$2,IF('امتیاز دهی خبرگان'!$C81=2,'طیف فازی'!$C$3,IF('امتیاز دهی خبرگان'!$C81=3,'طیف فازی'!$C$4,IF('امتیاز دهی خبرگان'!$C81=4,'طیف فازی'!$C$5,'طیف فازی'!$C$6)))))</f>
        <v>1</v>
      </c>
      <c r="E81" s="19">
        <f>IF('امتیاز دهی خبرگان'!$C81=0,0,IF('امتیاز دهی خبرگان'!$C81=1,'طیف فازی'!$D$2,IF('امتیاز دهی خبرگان'!$C81=2,'طیف فازی'!$D$3,IF('امتیاز دهی خبرگان'!$C81=3,'طیف فازی'!$D$4,IF('امتیاز دهی خبرگان'!$C81=4,'طیف فازی'!$D$5,'طیف فازی'!$D$6)))))</f>
        <v>1</v>
      </c>
      <c r="F81" s="20">
        <f>IF('امتیاز دهی خبرگان'!$D81=0,0,IF('امتیاز دهی خبرگان'!$D81=1,'طیف فازی'!$B$2,IF('امتیاز دهی خبرگان'!$D81=2,'طیف فازی'!$B$3,IF('امتیاز دهی خبرگان'!$D81=3,'طیف فازی'!$B$4,IF('امتیاز دهی خبرگان'!$D81=4,'طیف فازی'!$B$5,'طیف فازی'!$B$6)))))</f>
        <v>0.5</v>
      </c>
      <c r="G81" s="21">
        <f>IF('امتیاز دهی خبرگان'!$D81=0,0,IF('امتیاز دهی خبرگان'!$D81=1,'طیف فازی'!$D$2,IF('امتیاز دهی خبرگان'!$D81=2,'طیف فازی'!$C$3,IF('امتیاز دهی خبرگان'!$D81=3,'طیف فازی'!$C$4,IF('امتیاز دهی خبرگان'!$D81=4,'طیف فازی'!$C$5,'طیف فازی'!$C$6)))))</f>
        <v>0.75</v>
      </c>
      <c r="H81" s="22">
        <f>IF('امتیاز دهی خبرگان'!$D81=0,0,IF('امتیاز دهی خبرگان'!$D81=1,'طیف فازی'!$D$2,IF('امتیاز دهی خبرگان'!$D81=2,'طیف فازی'!$D$3,IF('امتیاز دهی خبرگان'!$D81=3,'طیف فازی'!$D$4,IF('امتیاز دهی خبرگان'!$D81=4,'طیف فازی'!$D$5,'طیف فازی'!$D$6)))))</f>
        <v>1</v>
      </c>
      <c r="I81" s="17">
        <f>IF('امتیاز دهی خبرگان'!$E81=0,0,IF('امتیاز دهی خبرگان'!$E81=1,'طیف فازی'!$B$2,IF('امتیاز دهی خبرگان'!$E81=2,'طیف فازی'!$B$3,IF('امتیاز دهی خبرگان'!$E81=3,'طیف فازی'!$B$4,IF('امتیاز دهی خبرگان'!$E81=4,'طیف فازی'!$B$5,'طیف فازی'!$B$6)))))</f>
        <v>0.25</v>
      </c>
      <c r="J81" s="18">
        <f>IF('امتیاز دهی خبرگان'!$E81=0,0,IF('امتیاز دهی خبرگان'!$E81=1,'طیف فازی'!$C$2,IF('امتیاز دهی خبرگان'!$E81=2,'طیف فازی'!$C$3,IF('امتیاز دهی خبرگان'!$E81=3,'طیف فازی'!$C$4,IF('امتیاز دهی خبرگان'!$E81=4,'طیف فازی'!$C$5,'طیف فازی'!$C$6)))))</f>
        <v>0.5</v>
      </c>
      <c r="K81" s="19">
        <f>IF('امتیاز دهی خبرگان'!$E81=0,0,IF('امتیاز دهی خبرگان'!$E81=1,'طیف فازی'!$D$2,IF('امتیاز دهی خبرگان'!$E81=2,'طیف فازی'!$D$3,IF('امتیاز دهی خبرگان'!$E81=3,'طیف فازی'!$D$4,IF('امتیاز دهی خبرگان'!$E81=4,'طیف فازی'!$D$5,'طیف فازی'!$D$6)))))</f>
        <v>0.75</v>
      </c>
      <c r="L81" s="17">
        <f>IF('امتیاز دهی خبرگان'!$F81=0,0,IF('امتیاز دهی خبرگان'!$F81=1,'طیف فازی'!$B$2,IF('امتیاز دهی خبرگان'!$F81=2,'طیف فازی'!$B$3,IF('امتیاز دهی خبرگان'!$F81=3,'طیف فازی'!$B$4,IF('امتیاز دهی خبرگان'!$F81=4,'طیف فازی'!$B$5,'طیف فازی'!$B$6)))))</f>
        <v>0.75</v>
      </c>
      <c r="M81" s="18">
        <f>IF('امتیاز دهی خبرگان'!$F81=0,0,IF('امتیاز دهی خبرگان'!$F81=1,'طیف فازی'!$C$2,IF('امتیاز دهی خبرگان'!$F81=2,'طیف فازی'!$C$3,IF('امتیاز دهی خبرگان'!$F81=3,'طیف فازی'!$C$4,IF('امتیاز دهی خبرگان'!$F81=4,'طیف فازی'!$C$5,'طیف فازی'!$C$6)))))</f>
        <v>1</v>
      </c>
      <c r="N81" s="19">
        <f>IF('امتیاز دهی خبرگان'!$F81=0,0,IF('امتیاز دهی خبرگان'!$F81=1,'طیف فازی'!$D$2,IF('امتیاز دهی خبرگان'!$F81=2,'طیف فازی'!$D$3,IF('امتیاز دهی خبرگان'!$F81=3,'طیف فازی'!$D$4,IF('امتیاز دهی خبرگان'!$F81=4,'طیف فازی'!$D$5,'طیف فازی'!$D$6)))))</f>
        <v>1</v>
      </c>
      <c r="O81" s="17">
        <f>IF('امتیاز دهی خبرگان'!$G81=0,0,IF('امتیاز دهی خبرگان'!$G81=1,'طیف فازی'!$B$2,IF('امتیاز دهی خبرگان'!$G81=2,'طیف فازی'!$B$3,IF('امتیاز دهی خبرگان'!$G81=3,'طیف فازی'!$B$4,IF('امتیاز دهی خبرگان'!$G81=4,'طیف فازی'!$B$5,'طیف فازی'!$B$6)))))</f>
        <v>0</v>
      </c>
      <c r="P81" s="18">
        <f>IF('امتیاز دهی خبرگان'!$G81=0,0,IF('امتیاز دهی خبرگان'!$G81=1,'طیف فازی'!$C$2,IF('امتیاز دهی خبرگان'!$G81=2,'طیف فازی'!$C$3,IF('امتیاز دهی خبرگان'!$G81=3,'طیف فازی'!$C$4,IF('امتیاز دهی خبرگان'!$G81=4,'طیف فازی'!$C$5,'طیف فازی'!$C$6)))))</f>
        <v>0.25</v>
      </c>
      <c r="Q81" s="19">
        <f>IF('امتیاز دهی خبرگان'!$G81=0,0,IF('امتیاز دهی خبرگان'!$G81=1,'طیف فازی'!$D$2,IF('امتیاز دهی خبرگان'!$G81=2,'طیف فازی'!$D$3,IF('امتیاز دهی خبرگان'!$G81=3,'طیف فازی'!$D$4,IF('امتیاز دهی خبرگان'!$G81=4,'طیف فازی'!$D$5,'طیف فازی'!$D$6)))))</f>
        <v>0.5</v>
      </c>
      <c r="R81" s="17">
        <f>IF('امتیاز دهی خبرگان'!$H81=0,0,IF('امتیاز دهی خبرگان'!$H81=1,'طیف فازی'!$B$2,IF('امتیاز دهی خبرگان'!$H81=2,'طیف فازی'!$B$3,IF('امتیاز دهی خبرگان'!$H81=3,'طیف فازی'!$B$4,IF('امتیاز دهی خبرگان'!$H81=4,'طیف فازی'!$B$5,'طیف فازی'!$B$6)))))</f>
        <v>0</v>
      </c>
      <c r="S81" s="18">
        <f>IF('امتیاز دهی خبرگان'!$H81=0,0,IF('امتیاز دهی خبرگان'!$H81=1,'طیف فازی'!$C$2,IF('امتیاز دهی خبرگان'!$H81=2,'طیف فازی'!$C$3,IF('امتیاز دهی خبرگان'!$H81=3,'طیف فازی'!$C$4,IF('امتیاز دهی خبرگان'!$H81=4,'طیف فازی'!$C$5,'طیف فازی'!$C$6)))))</f>
        <v>0.25</v>
      </c>
      <c r="T81" s="19">
        <f>IF('امتیاز دهی خبرگان'!$H81=0,0,IF('امتیاز دهی خبرگان'!$H81=1,'طیف فازی'!$D$2,IF('امتیاز دهی خبرگان'!$H81=2,'طیف فازی'!$D$3,IF('امتیاز دهی خبرگان'!$H81=3,'طیف فازی'!$D$4,IF('امتیاز دهی خبرگان'!$H81=4,'طیف فازی'!$D$5,'طیف فازی'!$D$6)))))</f>
        <v>0.5</v>
      </c>
      <c r="U81" s="17">
        <f>IF('امتیاز دهی خبرگان'!$I81=0,0,IF('امتیاز دهی خبرگان'!$I81=1,'طیف فازی'!$B$2,IF('امتیاز دهی خبرگان'!$I81=2,'طیف فازی'!$B$3,IF('امتیاز دهی خبرگان'!$I81=3,'طیف فازی'!$B$4,IF('امتیاز دهی خبرگان'!$I81=4,'طیف فازی'!$B$5,'طیف فازی'!$B$6)))))</f>
        <v>0.5</v>
      </c>
      <c r="V81" s="18">
        <f>IF('امتیاز دهی خبرگان'!$I81=0,0,IF('امتیاز دهی خبرگان'!$I81=1,'طیف فازی'!$C$2,IF('امتیاز دهی خبرگان'!$I81=2,'طیف فازی'!$C$3,IF('امتیاز دهی خبرگان'!$I81=3,'طیف فازی'!$C$4,IF('امتیاز دهی خبرگان'!$I81=4,'طیف فازی'!$C$5,'طیف فازی'!$C$6)))))</f>
        <v>0.75</v>
      </c>
      <c r="W81" s="19">
        <f>IF('امتیاز دهی خبرگان'!$I81=0,0,IF('امتیاز دهی خبرگان'!$I81=1,'طیف فازی'!$D$2,IF('امتیاز دهی خبرگان'!$I81=2,'طیف فازی'!$D$3,IF('امتیاز دهی خبرگان'!$I81=3,'طیف فازی'!$D$4,IF('امتیاز دهی خبرگان'!$I81=4,'طیف فازی'!$D$5,'طیف فازی'!$D$6)))))</f>
        <v>1</v>
      </c>
      <c r="X81" s="17">
        <f>IF('امتیاز دهی خبرگان'!$J81=0,0,IF('امتیاز دهی خبرگان'!$J81=1,'طیف فازی'!$B$2,IF('امتیاز دهی خبرگان'!$J81=2,'طیف فازی'!$B$3,IF('امتیاز دهی خبرگان'!$J81=3,'طیف فازی'!$B$4,IF('امتیاز دهی خبرگان'!$J81=4,'طیف فازی'!$B$5,'طیف فازی'!$B$6)))))</f>
        <v>0.75</v>
      </c>
      <c r="Y81" s="18">
        <f>IF('امتیاز دهی خبرگان'!$J81=0,0,IF('امتیاز دهی خبرگان'!$J81=1,'طیف فازی'!$C$2,IF('امتیاز دهی خبرگان'!$J81=2,'طیف فازی'!$C$3,IF('امتیاز دهی خبرگان'!$J81=3,'طیف فازی'!$C$4,IF('امتیاز دهی خبرگان'!$J81=4,'طیف فازی'!$C$5,'طیف فازی'!$C$6)))))</f>
        <v>1</v>
      </c>
      <c r="Z81" s="19">
        <f>IF('امتیاز دهی خبرگان'!$J81=0,0,IF('امتیاز دهی خبرگان'!$J81=1,'طیف فازی'!$D$2,IF('امتیاز دهی خبرگان'!$J81=2,'طیف فازی'!$D$3,IF('امتیاز دهی خبرگان'!$J81=3,'طیف فازی'!$D$4,IF('امتیاز دهی خبرگان'!$J81=4,'طیف فازی'!$D$5,'طیف فازی'!$D$6)))))</f>
        <v>1</v>
      </c>
      <c r="AA81" s="17">
        <f>IF('امتیاز دهی خبرگان'!$K81=0,0,IF('امتیاز دهی خبرگان'!$K81=1,'طیف فازی'!$B$2,IF('امتیاز دهی خبرگان'!$K81=2,'طیف فازی'!$B$3,IF('امتیاز دهی خبرگان'!$K81=3,'طیف فازی'!$B$4,IF('امتیاز دهی خبرگان'!$K81=4,'طیف فازی'!$B$5,'طیف فازی'!$B$6)))))</f>
        <v>0.75</v>
      </c>
      <c r="AB81" s="18">
        <f>IF('امتیاز دهی خبرگان'!$K81=0,0,IF('امتیاز دهی خبرگان'!$K81=1,'طیف فازی'!$C$2,IF('امتیاز دهی خبرگان'!$K81=2,'طیف فازی'!$C$3,IF('امتیاز دهی خبرگان'!$K81=3,'طیف فازی'!$C$4,IF('امتیاز دهی خبرگان'!$K81=4,'طیف فازی'!$C$5,'طیف فازی'!$C$6)))))</f>
        <v>1</v>
      </c>
      <c r="AC81" s="19">
        <f>IF('امتیاز دهی خبرگان'!$K81=0,0,IF('امتیاز دهی خبرگان'!$K81=1,'طیف فازی'!$D$2,IF('امتیاز دهی خبرگان'!$K81=2,'طیف فازی'!$D$3,IF('امتیاز دهی خبرگان'!$K81=3,'طیف فازی'!$D$4,IF('امتیاز دهی خبرگان'!$K81=4,'طیف فازی'!$D$5,'طیف فازی'!$D$6)))))</f>
        <v>1</v>
      </c>
      <c r="AD81" s="17">
        <f>IF('امتیاز دهی خبرگان'!$L81=0,0,IF('امتیاز دهی خبرگان'!$L81=1,'طیف فازی'!$B$2,IF('امتیاز دهی خبرگان'!$L81=2,'طیف فازی'!$B$3,IF('امتیاز دهی خبرگان'!$L81=3,'طیف فازی'!$B$4,IF('امتیاز دهی خبرگان'!$L81=4,'طیف فازی'!$B$5,'طیف فازی'!$B$6)))))</f>
        <v>0.75</v>
      </c>
      <c r="AE81" s="18">
        <f>IF('امتیاز دهی خبرگان'!$L81=0,0,IF('امتیاز دهی خبرگان'!$L81=1,'طیف فازی'!$C$2,IF('امتیاز دهی خبرگان'!$L81=2,'طیف فازی'!$C$3,IF('امتیاز دهی خبرگان'!$L81=3,'طیف فازی'!$C$4,IF('امتیاز دهی خبرگان'!$L81=4,'طیف فازی'!$C$5,'طیف فازی'!$C$6)))))</f>
        <v>1</v>
      </c>
      <c r="AF81" s="19">
        <f>IF('امتیاز دهی خبرگان'!$L81=0,0,IF('امتیاز دهی خبرگان'!$L81=1,'طیف فازی'!$D$2,IF('امتیاز دهی خبرگان'!$L81=2,'طیف فازی'!$D$3,IF('امتیاز دهی خبرگان'!$L81=3,'طیف فازی'!$D$4,IF('امتیاز دهی خبرگان'!$L81=4,'طیف فازی'!$D$5,'طیف فازی'!$D$6)))))</f>
        <v>1</v>
      </c>
      <c r="AG81" s="17">
        <f>IF('امتیاز دهی خبرگان'!$M81=0,0,IF('امتیاز دهی خبرگان'!$M81=1,'طیف فازی'!$B$2,IF('امتیاز دهی خبرگان'!$M81=2,'طیف فازی'!$B$3,IF('امتیاز دهی خبرگان'!$M81=3,'طیف فازی'!$B$4,IF('امتیاز دهی خبرگان'!$M81=4,'طیف فازی'!$B$5,'طیف فازی'!$B$6)))))</f>
        <v>0.5</v>
      </c>
      <c r="AH81" s="18">
        <f>IF('امتیاز دهی خبرگان'!$M81=0,0,IF('امتیاز دهی خبرگان'!$M81=1,'طیف فازی'!$C$2,IF('امتیاز دهی خبرگان'!$M81=2,'طیف فازی'!$C$3,IF('امتیاز دهی خبرگان'!$M81=3,'طیف فازی'!$C$4,IF('امتیاز دهی خبرگان'!$M81=4,'طیف فازی'!$C$5,'طیف فازی'!$C$6)))))</f>
        <v>0.75</v>
      </c>
      <c r="AI81" s="19">
        <f>IF('امتیاز دهی خبرگان'!$M81=0,0,IF('امتیاز دهی خبرگان'!$M81=1,'طیف فازی'!$D$2,IF('امتیاز دهی خبرگان'!$M81=2,'طیف فازی'!$D$3,IF('امتیاز دهی خبرگان'!$M81=3,'طیف فازی'!$D$4,IF('امتیاز دهی خبرگان'!$M81=4,'طیف فازی'!$D$5,'طیف فازی'!$D$6)))))</f>
        <v>1</v>
      </c>
      <c r="AJ81" s="17">
        <f>IF('امتیاز دهی خبرگان'!$N81=0,0,IF('امتیاز دهی خبرگان'!$N81=1,'طیف فازی'!$B$2,IF('امتیاز دهی خبرگان'!$N81=2,'طیف فازی'!$B$3,IF('امتیاز دهی خبرگان'!$N81=3,'طیف فازی'!$B$4,IF('امتیاز دهی خبرگان'!$N81=4,'طیف فازی'!$B$5,'طیف فازی'!$B$6)))))</f>
        <v>0.5</v>
      </c>
      <c r="AK81" s="18">
        <f>IF('امتیاز دهی خبرگان'!$N81=0,0,IF('امتیاز دهی خبرگان'!$N81=1,'طیف فازی'!$C$2,IF('امتیاز دهی خبرگان'!$N81=2,'طیف فازی'!$C$3,IF('امتیاز دهی خبرگان'!$N81=3,'طیف فازی'!$C$4,IF('امتیاز دهی خبرگان'!$N81=4,'طیف فازی'!$C$5,'طیف فازی'!$C$6)))))</f>
        <v>0.75</v>
      </c>
      <c r="AL81" s="19">
        <f>IF('امتیاز دهی خبرگان'!$N81=0,0,IF('امتیاز دهی خبرگان'!$N81=1,'طیف فازی'!$D$2,IF('امتیاز دهی خبرگان'!$N81=2,'طیف فازی'!$D$3,IF('امتیاز دهی خبرگان'!$N81=3,'طیف فازی'!$D$4,IF('امتیاز دهی خبرگان'!$N81=4,'طیف فازی'!$D$5,'طیف فازی'!$D$6)))))</f>
        <v>1</v>
      </c>
      <c r="AM81" s="23">
        <f t="shared" si="9"/>
        <v>6</v>
      </c>
      <c r="AN81" s="23">
        <f t="shared" si="10"/>
        <v>9</v>
      </c>
      <c r="AO81" s="24">
        <f t="shared" si="11"/>
        <v>10.75</v>
      </c>
      <c r="AP81" s="25">
        <f t="shared" si="12"/>
        <v>0.5</v>
      </c>
      <c r="AQ81" s="23">
        <f t="shared" si="13"/>
        <v>0.75</v>
      </c>
      <c r="AR81" s="24">
        <f t="shared" si="14"/>
        <v>0.89583333333333337</v>
      </c>
      <c r="AS81" s="24">
        <f t="shared" si="15"/>
        <v>0.71527777777777779</v>
      </c>
      <c r="AT81" s="24" t="str">
        <f t="shared" si="16"/>
        <v>Pass</v>
      </c>
    </row>
    <row r="82" spans="2:46" ht="23.25" customHeight="1" thickBot="1" x14ac:dyDescent="0.85">
      <c r="B82" s="2">
        <v>78</v>
      </c>
      <c r="C82" s="17">
        <f>IF('امتیاز دهی خبرگان'!$C82=0,0,IF('امتیاز دهی خبرگان'!$C82=1,'طیف فازی'!$B$2,IF('امتیاز دهی خبرگان'!$C82=2,'طیف فازی'!$B$3,IF('امتیاز دهی خبرگان'!$C82=3,'طیف فازی'!$B$4,IF('امتیاز دهی خبرگان'!$C82=4,'طیف فازی'!$B$5,'طیف فازی'!$B$6)))))</f>
        <v>0.75</v>
      </c>
      <c r="D82" s="18">
        <f>IF('امتیاز دهی خبرگان'!$C82=0,0,IF('امتیاز دهی خبرگان'!$C82=1,'طیف فازی'!$C$2,IF('امتیاز دهی خبرگان'!$C82=2,'طیف فازی'!$C$3,IF('امتیاز دهی خبرگان'!$C82=3,'طیف فازی'!$C$4,IF('امتیاز دهی خبرگان'!$C82=4,'طیف فازی'!$C$5,'طیف فازی'!$C$6)))))</f>
        <v>1</v>
      </c>
      <c r="E82" s="19">
        <f>IF('امتیاز دهی خبرگان'!$C82=0,0,IF('امتیاز دهی خبرگان'!$C82=1,'طیف فازی'!$D$2,IF('امتیاز دهی خبرگان'!$C82=2,'طیف فازی'!$D$3,IF('امتیاز دهی خبرگان'!$C82=3,'طیف فازی'!$D$4,IF('امتیاز دهی خبرگان'!$C82=4,'طیف فازی'!$D$5,'طیف فازی'!$D$6)))))</f>
        <v>1</v>
      </c>
      <c r="F82" s="20">
        <f>IF('امتیاز دهی خبرگان'!$D82=0,0,IF('امتیاز دهی خبرگان'!$D82=1,'طیف فازی'!$B$2,IF('امتیاز دهی خبرگان'!$D82=2,'طیف فازی'!$B$3,IF('امتیاز دهی خبرگان'!$D82=3,'طیف فازی'!$B$4,IF('امتیاز دهی خبرگان'!$D82=4,'طیف فازی'!$B$5,'طیف فازی'!$B$6)))))</f>
        <v>0.5</v>
      </c>
      <c r="G82" s="21">
        <f>IF('امتیاز دهی خبرگان'!$D82=0,0,IF('امتیاز دهی خبرگان'!$D82=1,'طیف فازی'!$D$2,IF('امتیاز دهی خبرگان'!$D82=2,'طیف فازی'!$C$3,IF('امتیاز دهی خبرگان'!$D82=3,'طیف فازی'!$C$4,IF('امتیاز دهی خبرگان'!$D82=4,'طیف فازی'!$C$5,'طیف فازی'!$C$6)))))</f>
        <v>0.75</v>
      </c>
      <c r="H82" s="22">
        <f>IF('امتیاز دهی خبرگان'!$D82=0,0,IF('امتیاز دهی خبرگان'!$D82=1,'طیف فازی'!$D$2,IF('امتیاز دهی خبرگان'!$D82=2,'طیف فازی'!$D$3,IF('امتیاز دهی خبرگان'!$D82=3,'طیف فازی'!$D$4,IF('امتیاز دهی خبرگان'!$D82=4,'طیف فازی'!$D$5,'طیف فازی'!$D$6)))))</f>
        <v>1</v>
      </c>
      <c r="I82" s="17">
        <f>IF('امتیاز دهی خبرگان'!$E82=0,0,IF('امتیاز دهی خبرگان'!$E82=1,'طیف فازی'!$B$2,IF('امتیاز دهی خبرگان'!$E82=2,'طیف فازی'!$B$3,IF('امتیاز دهی خبرگان'!$E82=3,'طیف فازی'!$B$4,IF('امتیاز دهی خبرگان'!$E82=4,'طیف فازی'!$B$5,'طیف فازی'!$B$6)))))</f>
        <v>0.25</v>
      </c>
      <c r="J82" s="18">
        <f>IF('امتیاز دهی خبرگان'!$E82=0,0,IF('امتیاز دهی خبرگان'!$E82=1,'طیف فازی'!$C$2,IF('امتیاز دهی خبرگان'!$E82=2,'طیف فازی'!$C$3,IF('امتیاز دهی خبرگان'!$E82=3,'طیف فازی'!$C$4,IF('امتیاز دهی خبرگان'!$E82=4,'طیف فازی'!$C$5,'طیف فازی'!$C$6)))))</f>
        <v>0.5</v>
      </c>
      <c r="K82" s="19">
        <f>IF('امتیاز دهی خبرگان'!$E82=0,0,IF('امتیاز دهی خبرگان'!$E82=1,'طیف فازی'!$D$2,IF('امتیاز دهی خبرگان'!$E82=2,'طیف فازی'!$D$3,IF('امتیاز دهی خبرگان'!$E82=3,'طیف فازی'!$D$4,IF('امتیاز دهی خبرگان'!$E82=4,'طیف فازی'!$D$5,'طیف فازی'!$D$6)))))</f>
        <v>0.75</v>
      </c>
      <c r="L82" s="17">
        <f>IF('امتیاز دهی خبرگان'!$F82=0,0,IF('امتیاز دهی خبرگان'!$F82=1,'طیف فازی'!$B$2,IF('امتیاز دهی خبرگان'!$F82=2,'طیف فازی'!$B$3,IF('امتیاز دهی خبرگان'!$F82=3,'طیف فازی'!$B$4,IF('امتیاز دهی خبرگان'!$F82=4,'طیف فازی'!$B$5,'طیف فازی'!$B$6)))))</f>
        <v>0.75</v>
      </c>
      <c r="M82" s="18">
        <f>IF('امتیاز دهی خبرگان'!$F82=0,0,IF('امتیاز دهی خبرگان'!$F82=1,'طیف فازی'!$C$2,IF('امتیاز دهی خبرگان'!$F82=2,'طیف فازی'!$C$3,IF('امتیاز دهی خبرگان'!$F82=3,'طیف فازی'!$C$4,IF('امتیاز دهی خبرگان'!$F82=4,'طیف فازی'!$C$5,'طیف فازی'!$C$6)))))</f>
        <v>1</v>
      </c>
      <c r="N82" s="19">
        <f>IF('امتیاز دهی خبرگان'!$F82=0,0,IF('امتیاز دهی خبرگان'!$F82=1,'طیف فازی'!$D$2,IF('امتیاز دهی خبرگان'!$F82=2,'طیف فازی'!$D$3,IF('امتیاز دهی خبرگان'!$F82=3,'طیف فازی'!$D$4,IF('امتیاز دهی خبرگان'!$F82=4,'طیف فازی'!$D$5,'طیف فازی'!$D$6)))))</f>
        <v>1</v>
      </c>
      <c r="O82" s="17">
        <f>IF('امتیاز دهی خبرگان'!$G82=0,0,IF('امتیاز دهی خبرگان'!$G82=1,'طیف فازی'!$B$2,IF('امتیاز دهی خبرگان'!$G82=2,'طیف فازی'!$B$3,IF('امتیاز دهی خبرگان'!$G82=3,'طیف فازی'!$B$4,IF('امتیاز دهی خبرگان'!$G82=4,'طیف فازی'!$B$5,'طیف فازی'!$B$6)))))</f>
        <v>0.5</v>
      </c>
      <c r="P82" s="18">
        <f>IF('امتیاز دهی خبرگان'!$G82=0,0,IF('امتیاز دهی خبرگان'!$G82=1,'طیف فازی'!$C$2,IF('امتیاز دهی خبرگان'!$G82=2,'طیف فازی'!$C$3,IF('امتیاز دهی خبرگان'!$G82=3,'طیف فازی'!$C$4,IF('امتیاز دهی خبرگان'!$G82=4,'طیف فازی'!$C$5,'طیف فازی'!$C$6)))))</f>
        <v>0.75</v>
      </c>
      <c r="Q82" s="19">
        <f>IF('امتیاز دهی خبرگان'!$G82=0,0,IF('امتیاز دهی خبرگان'!$G82=1,'طیف فازی'!$D$2,IF('امتیاز دهی خبرگان'!$G82=2,'طیف فازی'!$D$3,IF('امتیاز دهی خبرگان'!$G82=3,'طیف فازی'!$D$4,IF('امتیاز دهی خبرگان'!$G82=4,'طیف فازی'!$D$5,'طیف فازی'!$D$6)))))</f>
        <v>1</v>
      </c>
      <c r="R82" s="17">
        <f>IF('امتیاز دهی خبرگان'!$H82=0,0,IF('امتیاز دهی خبرگان'!$H82=1,'طیف فازی'!$B$2,IF('امتیاز دهی خبرگان'!$H82=2,'طیف فازی'!$B$3,IF('امتیاز دهی خبرگان'!$H82=3,'طیف فازی'!$B$4,IF('امتیاز دهی خبرگان'!$H82=4,'طیف فازی'!$B$5,'طیف فازی'!$B$6)))))</f>
        <v>0.5</v>
      </c>
      <c r="S82" s="18">
        <f>IF('امتیاز دهی خبرگان'!$H82=0,0,IF('امتیاز دهی خبرگان'!$H82=1,'طیف فازی'!$C$2,IF('امتیاز دهی خبرگان'!$H82=2,'طیف فازی'!$C$3,IF('امتیاز دهی خبرگان'!$H82=3,'طیف فازی'!$C$4,IF('امتیاز دهی خبرگان'!$H82=4,'طیف فازی'!$C$5,'طیف فازی'!$C$6)))))</f>
        <v>0.75</v>
      </c>
      <c r="T82" s="19">
        <f>IF('امتیاز دهی خبرگان'!$H82=0,0,IF('امتیاز دهی خبرگان'!$H82=1,'طیف فازی'!$D$2,IF('امتیاز دهی خبرگان'!$H82=2,'طیف فازی'!$D$3,IF('امتیاز دهی خبرگان'!$H82=3,'طیف فازی'!$D$4,IF('امتیاز دهی خبرگان'!$H82=4,'طیف فازی'!$D$5,'طیف فازی'!$D$6)))))</f>
        <v>1</v>
      </c>
      <c r="U82" s="17">
        <f>IF('امتیاز دهی خبرگان'!$I82=0,0,IF('امتیاز دهی خبرگان'!$I82=1,'طیف فازی'!$B$2,IF('امتیاز دهی خبرگان'!$I82=2,'طیف فازی'!$B$3,IF('امتیاز دهی خبرگان'!$I82=3,'طیف فازی'!$B$4,IF('امتیاز دهی خبرگان'!$I82=4,'طیف فازی'!$B$5,'طیف فازی'!$B$6)))))</f>
        <v>0.5</v>
      </c>
      <c r="V82" s="18">
        <f>IF('امتیاز دهی خبرگان'!$I82=0,0,IF('امتیاز دهی خبرگان'!$I82=1,'طیف فازی'!$C$2,IF('امتیاز دهی خبرگان'!$I82=2,'طیف فازی'!$C$3,IF('امتیاز دهی خبرگان'!$I82=3,'طیف فازی'!$C$4,IF('امتیاز دهی خبرگان'!$I82=4,'طیف فازی'!$C$5,'طیف فازی'!$C$6)))))</f>
        <v>0.75</v>
      </c>
      <c r="W82" s="19">
        <f>IF('امتیاز دهی خبرگان'!$I82=0,0,IF('امتیاز دهی خبرگان'!$I82=1,'طیف فازی'!$D$2,IF('امتیاز دهی خبرگان'!$I82=2,'طیف فازی'!$D$3,IF('امتیاز دهی خبرگان'!$I82=3,'طیف فازی'!$D$4,IF('امتیاز دهی خبرگان'!$I82=4,'طیف فازی'!$D$5,'طیف فازی'!$D$6)))))</f>
        <v>1</v>
      </c>
      <c r="X82" s="17">
        <f>IF('امتیاز دهی خبرگان'!$J82=0,0,IF('امتیاز دهی خبرگان'!$J82=1,'طیف فازی'!$B$2,IF('امتیاز دهی خبرگان'!$J82=2,'طیف فازی'!$B$3,IF('امتیاز دهی خبرگان'!$J82=3,'طیف فازی'!$B$4,IF('امتیاز دهی خبرگان'!$J82=4,'طیف فازی'!$B$5,'طیف فازی'!$B$6)))))</f>
        <v>0.5</v>
      </c>
      <c r="Y82" s="18">
        <f>IF('امتیاز دهی خبرگان'!$J82=0,0,IF('امتیاز دهی خبرگان'!$J82=1,'طیف فازی'!$C$2,IF('امتیاز دهی خبرگان'!$J82=2,'طیف فازی'!$C$3,IF('امتیاز دهی خبرگان'!$J82=3,'طیف فازی'!$C$4,IF('امتیاز دهی خبرگان'!$J82=4,'طیف فازی'!$C$5,'طیف فازی'!$C$6)))))</f>
        <v>0.75</v>
      </c>
      <c r="Z82" s="19">
        <f>IF('امتیاز دهی خبرگان'!$J82=0,0,IF('امتیاز دهی خبرگان'!$J82=1,'طیف فازی'!$D$2,IF('امتیاز دهی خبرگان'!$J82=2,'طیف فازی'!$D$3,IF('امتیاز دهی خبرگان'!$J82=3,'طیف فازی'!$D$4,IF('امتیاز دهی خبرگان'!$J82=4,'طیف فازی'!$D$5,'طیف فازی'!$D$6)))))</f>
        <v>1</v>
      </c>
      <c r="AA82" s="17">
        <f>IF('امتیاز دهی خبرگان'!$K82=0,0,IF('امتیاز دهی خبرگان'!$K82=1,'طیف فازی'!$B$2,IF('امتیاز دهی خبرگان'!$K82=2,'طیف فازی'!$B$3,IF('امتیاز دهی خبرگان'!$K82=3,'طیف فازی'!$B$4,IF('امتیاز دهی خبرگان'!$K82=4,'طیف فازی'!$B$5,'طیف فازی'!$B$6)))))</f>
        <v>0.75</v>
      </c>
      <c r="AB82" s="18">
        <f>IF('امتیاز دهی خبرگان'!$K82=0,0,IF('امتیاز دهی خبرگان'!$K82=1,'طیف فازی'!$C$2,IF('امتیاز دهی خبرگان'!$K82=2,'طیف فازی'!$C$3,IF('امتیاز دهی خبرگان'!$K82=3,'طیف فازی'!$C$4,IF('امتیاز دهی خبرگان'!$K82=4,'طیف فازی'!$C$5,'طیف فازی'!$C$6)))))</f>
        <v>1</v>
      </c>
      <c r="AC82" s="19">
        <f>IF('امتیاز دهی خبرگان'!$K82=0,0,IF('امتیاز دهی خبرگان'!$K82=1,'طیف فازی'!$D$2,IF('امتیاز دهی خبرگان'!$K82=2,'طیف فازی'!$D$3,IF('امتیاز دهی خبرگان'!$K82=3,'طیف فازی'!$D$4,IF('امتیاز دهی خبرگان'!$K82=4,'طیف فازی'!$D$5,'طیف فازی'!$D$6)))))</f>
        <v>1</v>
      </c>
      <c r="AD82" s="17">
        <f>IF('امتیاز دهی خبرگان'!$L82=0,0,IF('امتیاز دهی خبرگان'!$L82=1,'طیف فازی'!$B$2,IF('امتیاز دهی خبرگان'!$L82=2,'طیف فازی'!$B$3,IF('امتیاز دهی خبرگان'!$L82=3,'طیف فازی'!$B$4,IF('امتیاز دهی خبرگان'!$L82=4,'طیف فازی'!$B$5,'طیف فازی'!$B$6)))))</f>
        <v>0.5</v>
      </c>
      <c r="AE82" s="18">
        <f>IF('امتیاز دهی خبرگان'!$L82=0,0,IF('امتیاز دهی خبرگان'!$L82=1,'طیف فازی'!$C$2,IF('امتیاز دهی خبرگان'!$L82=2,'طیف فازی'!$C$3,IF('امتیاز دهی خبرگان'!$L82=3,'طیف فازی'!$C$4,IF('امتیاز دهی خبرگان'!$L82=4,'طیف فازی'!$C$5,'طیف فازی'!$C$6)))))</f>
        <v>0.75</v>
      </c>
      <c r="AF82" s="19">
        <f>IF('امتیاز دهی خبرگان'!$L82=0,0,IF('امتیاز دهی خبرگان'!$L82=1,'طیف فازی'!$D$2,IF('امتیاز دهی خبرگان'!$L82=2,'طیف فازی'!$D$3,IF('امتیاز دهی خبرگان'!$L82=3,'طیف فازی'!$D$4,IF('امتیاز دهی خبرگان'!$L82=4,'طیف فازی'!$D$5,'طیف فازی'!$D$6)))))</f>
        <v>1</v>
      </c>
      <c r="AG82" s="17">
        <f>IF('امتیاز دهی خبرگان'!$M82=0,0,IF('امتیاز دهی خبرگان'!$M82=1,'طیف فازی'!$B$2,IF('امتیاز دهی خبرگان'!$M82=2,'طیف فازی'!$B$3,IF('امتیاز دهی خبرگان'!$M82=3,'طیف فازی'!$B$4,IF('امتیاز دهی خبرگان'!$M82=4,'طیف فازی'!$B$5,'طیف فازی'!$B$6)))))</f>
        <v>0.5</v>
      </c>
      <c r="AH82" s="18">
        <f>IF('امتیاز دهی خبرگان'!$M82=0,0,IF('امتیاز دهی خبرگان'!$M82=1,'طیف فازی'!$C$2,IF('امتیاز دهی خبرگان'!$M82=2,'طیف فازی'!$C$3,IF('امتیاز دهی خبرگان'!$M82=3,'طیف فازی'!$C$4,IF('امتیاز دهی خبرگان'!$M82=4,'طیف فازی'!$C$5,'طیف فازی'!$C$6)))))</f>
        <v>0.75</v>
      </c>
      <c r="AI82" s="19">
        <f>IF('امتیاز دهی خبرگان'!$M82=0,0,IF('امتیاز دهی خبرگان'!$M82=1,'طیف فازی'!$D$2,IF('امتیاز دهی خبرگان'!$M82=2,'طیف فازی'!$D$3,IF('امتیاز دهی خبرگان'!$M82=3,'طیف فازی'!$D$4,IF('امتیاز دهی خبرگان'!$M82=4,'طیف فازی'!$D$5,'طیف فازی'!$D$6)))))</f>
        <v>1</v>
      </c>
      <c r="AJ82" s="17">
        <f>IF('امتیاز دهی خبرگان'!$N82=0,0,IF('امتیاز دهی خبرگان'!$N82=1,'طیف فازی'!$B$2,IF('امتیاز دهی خبرگان'!$N82=2,'طیف فازی'!$B$3,IF('امتیاز دهی خبرگان'!$N82=3,'طیف فازی'!$B$4,IF('امتیاز دهی خبرگان'!$N82=4,'طیف فازی'!$B$5,'طیف فازی'!$B$6)))))</f>
        <v>0.5</v>
      </c>
      <c r="AK82" s="18">
        <f>IF('امتیاز دهی خبرگان'!$N82=0,0,IF('امتیاز دهی خبرگان'!$N82=1,'طیف فازی'!$C$2,IF('امتیاز دهی خبرگان'!$N82=2,'طیف فازی'!$C$3,IF('امتیاز دهی خبرگان'!$N82=3,'طیف فازی'!$C$4,IF('امتیاز دهی خبرگان'!$N82=4,'طیف فازی'!$C$5,'طیف فازی'!$C$6)))))</f>
        <v>0.75</v>
      </c>
      <c r="AL82" s="19">
        <f>IF('امتیاز دهی خبرگان'!$N82=0,0,IF('امتیاز دهی خبرگان'!$N82=1,'طیف فازی'!$D$2,IF('امتیاز دهی خبرگان'!$N82=2,'طیف فازی'!$D$3,IF('امتیاز دهی خبرگان'!$N82=3,'طیف فازی'!$D$4,IF('امتیاز دهی خبرگان'!$N82=4,'طیف فازی'!$D$5,'طیف فازی'!$D$6)))))</f>
        <v>1</v>
      </c>
      <c r="AM82" s="23">
        <f t="shared" si="9"/>
        <v>6.5</v>
      </c>
      <c r="AN82" s="23">
        <f t="shared" si="10"/>
        <v>9.5</v>
      </c>
      <c r="AO82" s="24">
        <f t="shared" si="11"/>
        <v>11.75</v>
      </c>
      <c r="AP82" s="25">
        <f t="shared" si="12"/>
        <v>0.54166666666666663</v>
      </c>
      <c r="AQ82" s="23">
        <f t="shared" si="13"/>
        <v>0.79166666666666663</v>
      </c>
      <c r="AR82" s="24">
        <f t="shared" si="14"/>
        <v>0.97916666666666663</v>
      </c>
      <c r="AS82" s="24">
        <f t="shared" si="15"/>
        <v>0.77083333333333337</v>
      </c>
      <c r="AT82" s="24" t="str">
        <f t="shared" si="16"/>
        <v>Pass</v>
      </c>
    </row>
    <row r="83" spans="2:46" ht="23.25" customHeight="1" thickBot="1" x14ac:dyDescent="0.85">
      <c r="B83" s="2">
        <v>79</v>
      </c>
      <c r="C83" s="17">
        <f>IF('امتیاز دهی خبرگان'!$C83=0,0,IF('امتیاز دهی خبرگان'!$C83=1,'طیف فازی'!$B$2,IF('امتیاز دهی خبرگان'!$C83=2,'طیف فازی'!$B$3,IF('امتیاز دهی خبرگان'!$C83=3,'طیف فازی'!$B$4,IF('امتیاز دهی خبرگان'!$C83=4,'طیف فازی'!$B$5,'طیف فازی'!$B$6)))))</f>
        <v>0.75</v>
      </c>
      <c r="D83" s="18">
        <f>IF('امتیاز دهی خبرگان'!$C83=0,0,IF('امتیاز دهی خبرگان'!$C83=1,'طیف فازی'!$C$2,IF('امتیاز دهی خبرگان'!$C83=2,'طیف فازی'!$C$3,IF('امتیاز دهی خبرگان'!$C83=3,'طیف فازی'!$C$4,IF('امتیاز دهی خبرگان'!$C83=4,'طیف فازی'!$C$5,'طیف فازی'!$C$6)))))</f>
        <v>1</v>
      </c>
      <c r="E83" s="19">
        <f>IF('امتیاز دهی خبرگان'!$C83=0,0,IF('امتیاز دهی خبرگان'!$C83=1,'طیف فازی'!$D$2,IF('امتیاز دهی خبرگان'!$C83=2,'طیف فازی'!$D$3,IF('امتیاز دهی خبرگان'!$C83=3,'طیف فازی'!$D$4,IF('امتیاز دهی خبرگان'!$C83=4,'طیف فازی'!$D$5,'طیف فازی'!$D$6)))))</f>
        <v>1</v>
      </c>
      <c r="F83" s="20">
        <f>IF('امتیاز دهی خبرگان'!$D83=0,0,IF('امتیاز دهی خبرگان'!$D83=1,'طیف فازی'!$B$2,IF('امتیاز دهی خبرگان'!$D83=2,'طیف فازی'!$B$3,IF('امتیاز دهی خبرگان'!$D83=3,'طیف فازی'!$B$4,IF('امتیاز دهی خبرگان'!$D83=4,'طیف فازی'!$B$5,'طیف فازی'!$B$6)))))</f>
        <v>0.5</v>
      </c>
      <c r="G83" s="21">
        <f>IF('امتیاز دهی خبرگان'!$D83=0,0,IF('امتیاز دهی خبرگان'!$D83=1,'طیف فازی'!$D$2,IF('امتیاز دهی خبرگان'!$D83=2,'طیف فازی'!$C$3,IF('امتیاز دهی خبرگان'!$D83=3,'طیف فازی'!$C$4,IF('امتیاز دهی خبرگان'!$D83=4,'طیف فازی'!$C$5,'طیف فازی'!$C$6)))))</f>
        <v>0.75</v>
      </c>
      <c r="H83" s="22">
        <f>IF('امتیاز دهی خبرگان'!$D83=0,0,IF('امتیاز دهی خبرگان'!$D83=1,'طیف فازی'!$D$2,IF('امتیاز دهی خبرگان'!$D83=2,'طیف فازی'!$D$3,IF('امتیاز دهی خبرگان'!$D83=3,'طیف فازی'!$D$4,IF('امتیاز دهی خبرگان'!$D83=4,'طیف فازی'!$D$5,'طیف فازی'!$D$6)))))</f>
        <v>1</v>
      </c>
      <c r="I83" s="17">
        <f>IF('امتیاز دهی خبرگان'!$E83=0,0,IF('امتیاز دهی خبرگان'!$E83=1,'طیف فازی'!$B$2,IF('امتیاز دهی خبرگان'!$E83=2,'طیف فازی'!$B$3,IF('امتیاز دهی خبرگان'!$E83=3,'طیف فازی'!$B$4,IF('امتیاز دهی خبرگان'!$E83=4,'طیف فازی'!$B$5,'طیف فازی'!$B$6)))))</f>
        <v>0.25</v>
      </c>
      <c r="J83" s="18">
        <f>IF('امتیاز دهی خبرگان'!$E83=0,0,IF('امتیاز دهی خبرگان'!$E83=1,'طیف فازی'!$C$2,IF('امتیاز دهی خبرگان'!$E83=2,'طیف فازی'!$C$3,IF('امتیاز دهی خبرگان'!$E83=3,'طیف فازی'!$C$4,IF('امتیاز دهی خبرگان'!$E83=4,'طیف فازی'!$C$5,'طیف فازی'!$C$6)))))</f>
        <v>0.5</v>
      </c>
      <c r="K83" s="19">
        <f>IF('امتیاز دهی خبرگان'!$E83=0,0,IF('امتیاز دهی خبرگان'!$E83=1,'طیف فازی'!$D$2,IF('امتیاز دهی خبرگان'!$E83=2,'طیف فازی'!$D$3,IF('امتیاز دهی خبرگان'!$E83=3,'طیف فازی'!$D$4,IF('امتیاز دهی خبرگان'!$E83=4,'طیف فازی'!$D$5,'طیف فازی'!$D$6)))))</f>
        <v>0.75</v>
      </c>
      <c r="L83" s="17">
        <f>IF('امتیاز دهی خبرگان'!$F83=0,0,IF('امتیاز دهی خبرگان'!$F83=1,'طیف فازی'!$B$2,IF('امتیاز دهی خبرگان'!$F83=2,'طیف فازی'!$B$3,IF('امتیاز دهی خبرگان'!$F83=3,'طیف فازی'!$B$4,IF('امتیاز دهی خبرگان'!$F83=4,'طیف فازی'!$B$5,'طیف فازی'!$B$6)))))</f>
        <v>0.5</v>
      </c>
      <c r="M83" s="18">
        <f>IF('امتیاز دهی خبرگان'!$F83=0,0,IF('امتیاز دهی خبرگان'!$F83=1,'طیف فازی'!$C$2,IF('امتیاز دهی خبرگان'!$F83=2,'طیف فازی'!$C$3,IF('امتیاز دهی خبرگان'!$F83=3,'طیف فازی'!$C$4,IF('امتیاز دهی خبرگان'!$F83=4,'طیف فازی'!$C$5,'طیف فازی'!$C$6)))))</f>
        <v>0.75</v>
      </c>
      <c r="N83" s="19">
        <f>IF('امتیاز دهی خبرگان'!$F83=0,0,IF('امتیاز دهی خبرگان'!$F83=1,'طیف فازی'!$D$2,IF('امتیاز دهی خبرگان'!$F83=2,'طیف فازی'!$D$3,IF('امتیاز دهی خبرگان'!$F83=3,'طیف فازی'!$D$4,IF('امتیاز دهی خبرگان'!$F83=4,'طیف فازی'!$D$5,'طیف فازی'!$D$6)))))</f>
        <v>1</v>
      </c>
      <c r="O83" s="17">
        <f>IF('امتیاز دهی خبرگان'!$G83=0,0,IF('امتیاز دهی خبرگان'!$G83=1,'طیف فازی'!$B$2,IF('امتیاز دهی خبرگان'!$G83=2,'طیف فازی'!$B$3,IF('امتیاز دهی خبرگان'!$G83=3,'طیف فازی'!$B$4,IF('امتیاز دهی خبرگان'!$G83=4,'طیف فازی'!$B$5,'طیف فازی'!$B$6)))))</f>
        <v>0</v>
      </c>
      <c r="P83" s="18">
        <f>IF('امتیاز دهی خبرگان'!$G83=0,0,IF('امتیاز دهی خبرگان'!$G83=1,'طیف فازی'!$C$2,IF('امتیاز دهی خبرگان'!$G83=2,'طیف فازی'!$C$3,IF('امتیاز دهی خبرگان'!$G83=3,'طیف فازی'!$C$4,IF('امتیاز دهی خبرگان'!$G83=4,'طیف فازی'!$C$5,'طیف فازی'!$C$6)))))</f>
        <v>0.25</v>
      </c>
      <c r="Q83" s="19">
        <f>IF('امتیاز دهی خبرگان'!$G83=0,0,IF('امتیاز دهی خبرگان'!$G83=1,'طیف فازی'!$D$2,IF('امتیاز دهی خبرگان'!$G83=2,'طیف فازی'!$D$3,IF('امتیاز دهی خبرگان'!$G83=3,'طیف فازی'!$D$4,IF('امتیاز دهی خبرگان'!$G83=4,'طیف فازی'!$D$5,'طیف فازی'!$D$6)))))</f>
        <v>0.5</v>
      </c>
      <c r="R83" s="17">
        <f>IF('امتیاز دهی خبرگان'!$H83=0,0,IF('امتیاز دهی خبرگان'!$H83=1,'طیف فازی'!$B$2,IF('امتیاز دهی خبرگان'!$H83=2,'طیف فازی'!$B$3,IF('امتیاز دهی خبرگان'!$H83=3,'طیف فازی'!$B$4,IF('امتیاز دهی خبرگان'!$H83=4,'طیف فازی'!$B$5,'طیف فازی'!$B$6)))))</f>
        <v>0.75</v>
      </c>
      <c r="S83" s="18">
        <f>IF('امتیاز دهی خبرگان'!$H83=0,0,IF('امتیاز دهی خبرگان'!$H83=1,'طیف فازی'!$C$2,IF('امتیاز دهی خبرگان'!$H83=2,'طیف فازی'!$C$3,IF('امتیاز دهی خبرگان'!$H83=3,'طیف فازی'!$C$4,IF('امتیاز دهی خبرگان'!$H83=4,'طیف فازی'!$C$5,'طیف فازی'!$C$6)))))</f>
        <v>1</v>
      </c>
      <c r="T83" s="19">
        <f>IF('امتیاز دهی خبرگان'!$H83=0,0,IF('امتیاز دهی خبرگان'!$H83=1,'طیف فازی'!$D$2,IF('امتیاز دهی خبرگان'!$H83=2,'طیف فازی'!$D$3,IF('امتیاز دهی خبرگان'!$H83=3,'طیف فازی'!$D$4,IF('امتیاز دهی خبرگان'!$H83=4,'طیف فازی'!$D$5,'طیف فازی'!$D$6)))))</f>
        <v>1</v>
      </c>
      <c r="U83" s="17">
        <f>IF('امتیاز دهی خبرگان'!$I83=0,0,IF('امتیاز دهی خبرگان'!$I83=1,'طیف فازی'!$B$2,IF('امتیاز دهی خبرگان'!$I83=2,'طیف فازی'!$B$3,IF('امتیاز دهی خبرگان'!$I83=3,'طیف فازی'!$B$4,IF('امتیاز دهی خبرگان'!$I83=4,'طیف فازی'!$B$5,'طیف فازی'!$B$6)))))</f>
        <v>0.75</v>
      </c>
      <c r="V83" s="18">
        <f>IF('امتیاز دهی خبرگان'!$I83=0,0,IF('امتیاز دهی خبرگان'!$I83=1,'طیف فازی'!$C$2,IF('امتیاز دهی خبرگان'!$I83=2,'طیف فازی'!$C$3,IF('امتیاز دهی خبرگان'!$I83=3,'طیف فازی'!$C$4,IF('امتیاز دهی خبرگان'!$I83=4,'طیف فازی'!$C$5,'طیف فازی'!$C$6)))))</f>
        <v>1</v>
      </c>
      <c r="W83" s="19">
        <f>IF('امتیاز دهی خبرگان'!$I83=0,0,IF('امتیاز دهی خبرگان'!$I83=1,'طیف فازی'!$D$2,IF('امتیاز دهی خبرگان'!$I83=2,'طیف فازی'!$D$3,IF('امتیاز دهی خبرگان'!$I83=3,'طیف فازی'!$D$4,IF('امتیاز دهی خبرگان'!$I83=4,'طیف فازی'!$D$5,'طیف فازی'!$D$6)))))</f>
        <v>1</v>
      </c>
      <c r="X83" s="17">
        <f>IF('امتیاز دهی خبرگان'!$J83=0,0,IF('امتیاز دهی خبرگان'!$J83=1,'طیف فازی'!$B$2,IF('امتیاز دهی خبرگان'!$J83=2,'طیف فازی'!$B$3,IF('امتیاز دهی خبرگان'!$J83=3,'طیف فازی'!$B$4,IF('امتیاز دهی خبرگان'!$J83=4,'طیف فازی'!$B$5,'طیف فازی'!$B$6)))))</f>
        <v>0.25</v>
      </c>
      <c r="Y83" s="18">
        <f>IF('امتیاز دهی خبرگان'!$J83=0,0,IF('امتیاز دهی خبرگان'!$J83=1,'طیف فازی'!$C$2,IF('امتیاز دهی خبرگان'!$J83=2,'طیف فازی'!$C$3,IF('امتیاز دهی خبرگان'!$J83=3,'طیف فازی'!$C$4,IF('امتیاز دهی خبرگان'!$J83=4,'طیف فازی'!$C$5,'طیف فازی'!$C$6)))))</f>
        <v>0.5</v>
      </c>
      <c r="Z83" s="19">
        <f>IF('امتیاز دهی خبرگان'!$J83=0,0,IF('امتیاز دهی خبرگان'!$J83=1,'طیف فازی'!$D$2,IF('امتیاز دهی خبرگان'!$J83=2,'طیف فازی'!$D$3,IF('امتیاز دهی خبرگان'!$J83=3,'طیف فازی'!$D$4,IF('امتیاز دهی خبرگان'!$J83=4,'طیف فازی'!$D$5,'طیف فازی'!$D$6)))))</f>
        <v>0.75</v>
      </c>
      <c r="AA83" s="17">
        <f>IF('امتیاز دهی خبرگان'!$K83=0,0,IF('امتیاز دهی خبرگان'!$K83=1,'طیف فازی'!$B$2,IF('امتیاز دهی خبرگان'!$K83=2,'طیف فازی'!$B$3,IF('امتیاز دهی خبرگان'!$K83=3,'طیف فازی'!$B$4,IF('امتیاز دهی خبرگان'!$K83=4,'طیف فازی'!$B$5,'طیف فازی'!$B$6)))))</f>
        <v>0.75</v>
      </c>
      <c r="AB83" s="18">
        <f>IF('امتیاز دهی خبرگان'!$K83=0,0,IF('امتیاز دهی خبرگان'!$K83=1,'طیف فازی'!$C$2,IF('امتیاز دهی خبرگان'!$K83=2,'طیف فازی'!$C$3,IF('امتیاز دهی خبرگان'!$K83=3,'طیف فازی'!$C$4,IF('امتیاز دهی خبرگان'!$K83=4,'طیف فازی'!$C$5,'طیف فازی'!$C$6)))))</f>
        <v>1</v>
      </c>
      <c r="AC83" s="19">
        <f>IF('امتیاز دهی خبرگان'!$K83=0,0,IF('امتیاز دهی خبرگان'!$K83=1,'طیف فازی'!$D$2,IF('امتیاز دهی خبرگان'!$K83=2,'طیف فازی'!$D$3,IF('امتیاز دهی خبرگان'!$K83=3,'طیف فازی'!$D$4,IF('امتیاز دهی خبرگان'!$K83=4,'طیف فازی'!$D$5,'طیف فازی'!$D$6)))))</f>
        <v>1</v>
      </c>
      <c r="AD83" s="17">
        <f>IF('امتیاز دهی خبرگان'!$L83=0,0,IF('امتیاز دهی خبرگان'!$L83=1,'طیف فازی'!$B$2,IF('امتیاز دهی خبرگان'!$L83=2,'طیف فازی'!$B$3,IF('امتیاز دهی خبرگان'!$L83=3,'طیف فازی'!$B$4,IF('امتیاز دهی خبرگان'!$L83=4,'طیف فازی'!$B$5,'طیف فازی'!$B$6)))))</f>
        <v>0.75</v>
      </c>
      <c r="AE83" s="18">
        <f>IF('امتیاز دهی خبرگان'!$L83=0,0,IF('امتیاز دهی خبرگان'!$L83=1,'طیف فازی'!$C$2,IF('امتیاز دهی خبرگان'!$L83=2,'طیف فازی'!$C$3,IF('امتیاز دهی خبرگان'!$L83=3,'طیف فازی'!$C$4,IF('امتیاز دهی خبرگان'!$L83=4,'طیف فازی'!$C$5,'طیف فازی'!$C$6)))))</f>
        <v>1</v>
      </c>
      <c r="AF83" s="19">
        <f>IF('امتیاز دهی خبرگان'!$L83=0,0,IF('امتیاز دهی خبرگان'!$L83=1,'طیف فازی'!$D$2,IF('امتیاز دهی خبرگان'!$L83=2,'طیف فازی'!$D$3,IF('امتیاز دهی خبرگان'!$L83=3,'طیف فازی'!$D$4,IF('امتیاز دهی خبرگان'!$L83=4,'طیف فازی'!$D$5,'طیف فازی'!$D$6)))))</f>
        <v>1</v>
      </c>
      <c r="AG83" s="17">
        <f>IF('امتیاز دهی خبرگان'!$M83=0,0,IF('امتیاز دهی خبرگان'!$M83=1,'طیف فازی'!$B$2,IF('امتیاز دهی خبرگان'!$M83=2,'طیف فازی'!$B$3,IF('امتیاز دهی خبرگان'!$M83=3,'طیف فازی'!$B$4,IF('امتیاز دهی خبرگان'!$M83=4,'طیف فازی'!$B$5,'طیف فازی'!$B$6)))))</f>
        <v>0.25</v>
      </c>
      <c r="AH83" s="18">
        <f>IF('امتیاز دهی خبرگان'!$M83=0,0,IF('امتیاز دهی خبرگان'!$M83=1,'طیف فازی'!$C$2,IF('امتیاز دهی خبرگان'!$M83=2,'طیف فازی'!$C$3,IF('امتیاز دهی خبرگان'!$M83=3,'طیف فازی'!$C$4,IF('امتیاز دهی خبرگان'!$M83=4,'طیف فازی'!$C$5,'طیف فازی'!$C$6)))))</f>
        <v>0.5</v>
      </c>
      <c r="AI83" s="19">
        <f>IF('امتیاز دهی خبرگان'!$M83=0,0,IF('امتیاز دهی خبرگان'!$M83=1,'طیف فازی'!$D$2,IF('امتیاز دهی خبرگان'!$M83=2,'طیف فازی'!$D$3,IF('امتیاز دهی خبرگان'!$M83=3,'طیف فازی'!$D$4,IF('امتیاز دهی خبرگان'!$M83=4,'طیف فازی'!$D$5,'طیف فازی'!$D$6)))))</f>
        <v>0.75</v>
      </c>
      <c r="AJ83" s="17">
        <f>IF('امتیاز دهی خبرگان'!$N83=0,0,IF('امتیاز دهی خبرگان'!$N83=1,'طیف فازی'!$B$2,IF('امتیاز دهی خبرگان'!$N83=2,'طیف فازی'!$B$3,IF('امتیاز دهی خبرگان'!$N83=3,'طیف فازی'!$B$4,IF('امتیاز دهی خبرگان'!$N83=4,'طیف فازی'!$B$5,'طیف فازی'!$B$6)))))</f>
        <v>0.75</v>
      </c>
      <c r="AK83" s="18">
        <f>IF('امتیاز دهی خبرگان'!$N83=0,0,IF('امتیاز دهی خبرگان'!$N83=1,'طیف فازی'!$C$2,IF('امتیاز دهی خبرگان'!$N83=2,'طیف فازی'!$C$3,IF('امتیاز دهی خبرگان'!$N83=3,'طیف فازی'!$C$4,IF('امتیاز دهی خبرگان'!$N83=4,'طیف فازی'!$C$5,'طیف فازی'!$C$6)))))</f>
        <v>1</v>
      </c>
      <c r="AL83" s="19">
        <f>IF('امتیاز دهی خبرگان'!$N83=0,0,IF('امتیاز دهی خبرگان'!$N83=1,'طیف فازی'!$D$2,IF('امتیاز دهی خبرگان'!$N83=2,'طیف فازی'!$D$3,IF('امتیاز دهی خبرگان'!$N83=3,'طیف فازی'!$D$4,IF('امتیاز دهی خبرگان'!$N83=4,'طیف فازی'!$D$5,'طیف فازی'!$D$6)))))</f>
        <v>1</v>
      </c>
      <c r="AM83" s="23">
        <f t="shared" si="9"/>
        <v>6.25</v>
      </c>
      <c r="AN83" s="23">
        <f t="shared" si="10"/>
        <v>9.25</v>
      </c>
      <c r="AO83" s="24">
        <f t="shared" si="11"/>
        <v>10.75</v>
      </c>
      <c r="AP83" s="25">
        <f t="shared" si="12"/>
        <v>0.52083333333333337</v>
      </c>
      <c r="AQ83" s="23">
        <f t="shared" si="13"/>
        <v>0.77083333333333337</v>
      </c>
      <c r="AR83" s="24">
        <f t="shared" si="14"/>
        <v>0.89583333333333337</v>
      </c>
      <c r="AS83" s="24">
        <f t="shared" si="15"/>
        <v>0.72916666666666663</v>
      </c>
      <c r="AT83" s="24" t="str">
        <f t="shared" si="16"/>
        <v>Pass</v>
      </c>
    </row>
    <row r="84" spans="2:46" ht="23.25" customHeight="1" thickBot="1" x14ac:dyDescent="0.85">
      <c r="B84" s="2">
        <v>80</v>
      </c>
      <c r="C84" s="17">
        <f>IF('امتیاز دهی خبرگان'!$C84=0,0,IF('امتیاز دهی خبرگان'!$C84=1,'طیف فازی'!$B$2,IF('امتیاز دهی خبرگان'!$C84=2,'طیف فازی'!$B$3,IF('امتیاز دهی خبرگان'!$C84=3,'طیف فازی'!$B$4,IF('امتیاز دهی خبرگان'!$C84=4,'طیف فازی'!$B$5,'طیف فازی'!$B$6)))))</f>
        <v>0.75</v>
      </c>
      <c r="D84" s="18">
        <f>IF('امتیاز دهی خبرگان'!$C84=0,0,IF('امتیاز دهی خبرگان'!$C84=1,'طیف فازی'!$C$2,IF('امتیاز دهی خبرگان'!$C84=2,'طیف فازی'!$C$3,IF('امتیاز دهی خبرگان'!$C84=3,'طیف فازی'!$C$4,IF('امتیاز دهی خبرگان'!$C84=4,'طیف فازی'!$C$5,'طیف فازی'!$C$6)))))</f>
        <v>1</v>
      </c>
      <c r="E84" s="19">
        <f>IF('امتیاز دهی خبرگان'!$C84=0,0,IF('امتیاز دهی خبرگان'!$C84=1,'طیف فازی'!$D$2,IF('امتیاز دهی خبرگان'!$C84=2,'طیف فازی'!$D$3,IF('امتیاز دهی خبرگان'!$C84=3,'طیف فازی'!$D$4,IF('امتیاز دهی خبرگان'!$C84=4,'طیف فازی'!$D$5,'طیف فازی'!$D$6)))))</f>
        <v>1</v>
      </c>
      <c r="F84" s="20">
        <f>IF('امتیاز دهی خبرگان'!$D84=0,0,IF('امتیاز دهی خبرگان'!$D84=1,'طیف فازی'!$B$2,IF('امتیاز دهی خبرگان'!$D84=2,'طیف فازی'!$B$3,IF('امتیاز دهی خبرگان'!$D84=3,'طیف فازی'!$B$4,IF('امتیاز دهی خبرگان'!$D84=4,'طیف فازی'!$B$5,'طیف فازی'!$B$6)))))</f>
        <v>0.5</v>
      </c>
      <c r="G84" s="21">
        <f>IF('امتیاز دهی خبرگان'!$D84=0,0,IF('امتیاز دهی خبرگان'!$D84=1,'طیف فازی'!$D$2,IF('امتیاز دهی خبرگان'!$D84=2,'طیف فازی'!$C$3,IF('امتیاز دهی خبرگان'!$D84=3,'طیف فازی'!$C$4,IF('امتیاز دهی خبرگان'!$D84=4,'طیف فازی'!$C$5,'طیف فازی'!$C$6)))))</f>
        <v>0.75</v>
      </c>
      <c r="H84" s="22">
        <f>IF('امتیاز دهی خبرگان'!$D84=0,0,IF('امتیاز دهی خبرگان'!$D84=1,'طیف فازی'!$D$2,IF('امتیاز دهی خبرگان'!$D84=2,'طیف فازی'!$D$3,IF('امتیاز دهی خبرگان'!$D84=3,'طیف فازی'!$D$4,IF('امتیاز دهی خبرگان'!$D84=4,'طیف فازی'!$D$5,'طیف فازی'!$D$6)))))</f>
        <v>1</v>
      </c>
      <c r="I84" s="17">
        <f>IF('امتیاز دهی خبرگان'!$E84=0,0,IF('امتیاز دهی خبرگان'!$E84=1,'طیف فازی'!$B$2,IF('امتیاز دهی خبرگان'!$E84=2,'طیف فازی'!$B$3,IF('امتیاز دهی خبرگان'!$E84=3,'طیف فازی'!$B$4,IF('امتیاز دهی خبرگان'!$E84=4,'طیف فازی'!$B$5,'طیف فازی'!$B$6)))))</f>
        <v>0.25</v>
      </c>
      <c r="J84" s="18">
        <f>IF('امتیاز دهی خبرگان'!$E84=0,0,IF('امتیاز دهی خبرگان'!$E84=1,'طیف فازی'!$C$2,IF('امتیاز دهی خبرگان'!$E84=2,'طیف فازی'!$C$3,IF('امتیاز دهی خبرگان'!$E84=3,'طیف فازی'!$C$4,IF('امتیاز دهی خبرگان'!$E84=4,'طیف فازی'!$C$5,'طیف فازی'!$C$6)))))</f>
        <v>0.5</v>
      </c>
      <c r="K84" s="19">
        <f>IF('امتیاز دهی خبرگان'!$E84=0,0,IF('امتیاز دهی خبرگان'!$E84=1,'طیف فازی'!$D$2,IF('امتیاز دهی خبرگان'!$E84=2,'طیف فازی'!$D$3,IF('امتیاز دهی خبرگان'!$E84=3,'طیف فازی'!$D$4,IF('امتیاز دهی خبرگان'!$E84=4,'طیف فازی'!$D$5,'طیف فازی'!$D$6)))))</f>
        <v>0.75</v>
      </c>
      <c r="L84" s="17">
        <f>IF('امتیاز دهی خبرگان'!$F84=0,0,IF('امتیاز دهی خبرگان'!$F84=1,'طیف فازی'!$B$2,IF('امتیاز دهی خبرگان'!$F84=2,'طیف فازی'!$B$3,IF('امتیاز دهی خبرگان'!$F84=3,'طیف فازی'!$B$4,IF('امتیاز دهی خبرگان'!$F84=4,'طیف فازی'!$B$5,'طیف فازی'!$B$6)))))</f>
        <v>0.5</v>
      </c>
      <c r="M84" s="18">
        <f>IF('امتیاز دهی خبرگان'!$F84=0,0,IF('امتیاز دهی خبرگان'!$F84=1,'طیف فازی'!$C$2,IF('امتیاز دهی خبرگان'!$F84=2,'طیف فازی'!$C$3,IF('امتیاز دهی خبرگان'!$F84=3,'طیف فازی'!$C$4,IF('امتیاز دهی خبرگان'!$F84=4,'طیف فازی'!$C$5,'طیف فازی'!$C$6)))))</f>
        <v>0.75</v>
      </c>
      <c r="N84" s="19">
        <f>IF('امتیاز دهی خبرگان'!$F84=0,0,IF('امتیاز دهی خبرگان'!$F84=1,'طیف فازی'!$D$2,IF('امتیاز دهی خبرگان'!$F84=2,'طیف فازی'!$D$3,IF('امتیاز دهی خبرگان'!$F84=3,'طیف فازی'!$D$4,IF('امتیاز دهی خبرگان'!$F84=4,'طیف فازی'!$D$5,'طیف فازی'!$D$6)))))</f>
        <v>1</v>
      </c>
      <c r="O84" s="17">
        <f>IF('امتیاز دهی خبرگان'!$G84=0,0,IF('امتیاز دهی خبرگان'!$G84=1,'طیف فازی'!$B$2,IF('امتیاز دهی خبرگان'!$G84=2,'طیف فازی'!$B$3,IF('امتیاز دهی خبرگان'!$G84=3,'طیف فازی'!$B$4,IF('امتیاز دهی خبرگان'!$G84=4,'طیف فازی'!$B$5,'طیف فازی'!$B$6)))))</f>
        <v>0.25</v>
      </c>
      <c r="P84" s="18">
        <f>IF('امتیاز دهی خبرگان'!$G84=0,0,IF('امتیاز دهی خبرگان'!$G84=1,'طیف فازی'!$C$2,IF('امتیاز دهی خبرگان'!$G84=2,'طیف فازی'!$C$3,IF('امتیاز دهی خبرگان'!$G84=3,'طیف فازی'!$C$4,IF('امتیاز دهی خبرگان'!$G84=4,'طیف فازی'!$C$5,'طیف فازی'!$C$6)))))</f>
        <v>0.5</v>
      </c>
      <c r="Q84" s="19">
        <f>IF('امتیاز دهی خبرگان'!$G84=0,0,IF('امتیاز دهی خبرگان'!$G84=1,'طیف فازی'!$D$2,IF('امتیاز دهی خبرگان'!$G84=2,'طیف فازی'!$D$3,IF('امتیاز دهی خبرگان'!$G84=3,'طیف فازی'!$D$4,IF('امتیاز دهی خبرگان'!$G84=4,'طیف فازی'!$D$5,'طیف فازی'!$D$6)))))</f>
        <v>0.75</v>
      </c>
      <c r="R84" s="17">
        <f>IF('امتیاز دهی خبرگان'!$H84=0,0,IF('امتیاز دهی خبرگان'!$H84=1,'طیف فازی'!$B$2,IF('امتیاز دهی خبرگان'!$H84=2,'طیف فازی'!$B$3,IF('امتیاز دهی خبرگان'!$H84=3,'طیف فازی'!$B$4,IF('امتیاز دهی خبرگان'!$H84=4,'طیف فازی'!$B$5,'طیف فازی'!$B$6)))))</f>
        <v>0.25</v>
      </c>
      <c r="S84" s="18">
        <f>IF('امتیاز دهی خبرگان'!$H84=0,0,IF('امتیاز دهی خبرگان'!$H84=1,'طیف فازی'!$C$2,IF('امتیاز دهی خبرگان'!$H84=2,'طیف فازی'!$C$3,IF('امتیاز دهی خبرگان'!$H84=3,'طیف فازی'!$C$4,IF('امتیاز دهی خبرگان'!$H84=4,'طیف فازی'!$C$5,'طیف فازی'!$C$6)))))</f>
        <v>0.5</v>
      </c>
      <c r="T84" s="19">
        <f>IF('امتیاز دهی خبرگان'!$H84=0,0,IF('امتیاز دهی خبرگان'!$H84=1,'طیف فازی'!$D$2,IF('امتیاز دهی خبرگان'!$H84=2,'طیف فازی'!$D$3,IF('امتیاز دهی خبرگان'!$H84=3,'طیف فازی'!$D$4,IF('امتیاز دهی خبرگان'!$H84=4,'طیف فازی'!$D$5,'طیف فازی'!$D$6)))))</f>
        <v>0.75</v>
      </c>
      <c r="U84" s="17">
        <f>IF('امتیاز دهی خبرگان'!$I84=0,0,IF('امتیاز دهی خبرگان'!$I84=1,'طیف فازی'!$B$2,IF('امتیاز دهی خبرگان'!$I84=2,'طیف فازی'!$B$3,IF('امتیاز دهی خبرگان'!$I84=3,'طیف فازی'!$B$4,IF('امتیاز دهی خبرگان'!$I84=4,'طیف فازی'!$B$5,'طیف فازی'!$B$6)))))</f>
        <v>0.5</v>
      </c>
      <c r="V84" s="18">
        <f>IF('امتیاز دهی خبرگان'!$I84=0,0,IF('امتیاز دهی خبرگان'!$I84=1,'طیف فازی'!$C$2,IF('امتیاز دهی خبرگان'!$I84=2,'طیف فازی'!$C$3,IF('امتیاز دهی خبرگان'!$I84=3,'طیف فازی'!$C$4,IF('امتیاز دهی خبرگان'!$I84=4,'طیف فازی'!$C$5,'طیف فازی'!$C$6)))))</f>
        <v>0.75</v>
      </c>
      <c r="W84" s="19">
        <f>IF('امتیاز دهی خبرگان'!$I84=0,0,IF('امتیاز دهی خبرگان'!$I84=1,'طیف فازی'!$D$2,IF('امتیاز دهی خبرگان'!$I84=2,'طیف فازی'!$D$3,IF('امتیاز دهی خبرگان'!$I84=3,'طیف فازی'!$D$4,IF('امتیاز دهی خبرگان'!$I84=4,'طیف فازی'!$D$5,'طیف فازی'!$D$6)))))</f>
        <v>1</v>
      </c>
      <c r="X84" s="17">
        <f>IF('امتیاز دهی خبرگان'!$J84=0,0,IF('امتیاز دهی خبرگان'!$J84=1,'طیف فازی'!$B$2,IF('امتیاز دهی خبرگان'!$J84=2,'طیف فازی'!$B$3,IF('امتیاز دهی خبرگان'!$J84=3,'طیف فازی'!$B$4,IF('امتیاز دهی خبرگان'!$J84=4,'طیف فازی'!$B$5,'طیف فازی'!$B$6)))))</f>
        <v>0.5</v>
      </c>
      <c r="Y84" s="18">
        <f>IF('امتیاز دهی خبرگان'!$J84=0,0,IF('امتیاز دهی خبرگان'!$J84=1,'طیف فازی'!$C$2,IF('امتیاز دهی خبرگان'!$J84=2,'طیف فازی'!$C$3,IF('امتیاز دهی خبرگان'!$J84=3,'طیف فازی'!$C$4,IF('امتیاز دهی خبرگان'!$J84=4,'طیف فازی'!$C$5,'طیف فازی'!$C$6)))))</f>
        <v>0.75</v>
      </c>
      <c r="Z84" s="19">
        <f>IF('امتیاز دهی خبرگان'!$J84=0,0,IF('امتیاز دهی خبرگان'!$J84=1,'طیف فازی'!$D$2,IF('امتیاز دهی خبرگان'!$J84=2,'طیف فازی'!$D$3,IF('امتیاز دهی خبرگان'!$J84=3,'طیف فازی'!$D$4,IF('امتیاز دهی خبرگان'!$J84=4,'طیف فازی'!$D$5,'طیف فازی'!$D$6)))))</f>
        <v>1</v>
      </c>
      <c r="AA84" s="17">
        <f>IF('امتیاز دهی خبرگان'!$K84=0,0,IF('امتیاز دهی خبرگان'!$K84=1,'طیف فازی'!$B$2,IF('امتیاز دهی خبرگان'!$K84=2,'طیف فازی'!$B$3,IF('امتیاز دهی خبرگان'!$K84=3,'طیف فازی'!$B$4,IF('امتیاز دهی خبرگان'!$K84=4,'طیف فازی'!$B$5,'طیف فازی'!$B$6)))))</f>
        <v>0.75</v>
      </c>
      <c r="AB84" s="18">
        <f>IF('امتیاز دهی خبرگان'!$K84=0,0,IF('امتیاز دهی خبرگان'!$K84=1,'طیف فازی'!$C$2,IF('امتیاز دهی خبرگان'!$K84=2,'طیف فازی'!$C$3,IF('امتیاز دهی خبرگان'!$K84=3,'طیف فازی'!$C$4,IF('امتیاز دهی خبرگان'!$K84=4,'طیف فازی'!$C$5,'طیف فازی'!$C$6)))))</f>
        <v>1</v>
      </c>
      <c r="AC84" s="19">
        <f>IF('امتیاز دهی خبرگان'!$K84=0,0,IF('امتیاز دهی خبرگان'!$K84=1,'طیف فازی'!$D$2,IF('امتیاز دهی خبرگان'!$K84=2,'طیف فازی'!$D$3,IF('امتیاز دهی خبرگان'!$K84=3,'طیف فازی'!$D$4,IF('امتیاز دهی خبرگان'!$K84=4,'طیف فازی'!$D$5,'طیف فازی'!$D$6)))))</f>
        <v>1</v>
      </c>
      <c r="AD84" s="17">
        <f>IF('امتیاز دهی خبرگان'!$L84=0,0,IF('امتیاز دهی خبرگان'!$L84=1,'طیف فازی'!$B$2,IF('امتیاز دهی خبرگان'!$L84=2,'طیف فازی'!$B$3,IF('امتیاز دهی خبرگان'!$L84=3,'طیف فازی'!$B$4,IF('امتیاز دهی خبرگان'!$L84=4,'طیف فازی'!$B$5,'طیف فازی'!$B$6)))))</f>
        <v>0.75</v>
      </c>
      <c r="AE84" s="18">
        <f>IF('امتیاز دهی خبرگان'!$L84=0,0,IF('امتیاز دهی خبرگان'!$L84=1,'طیف فازی'!$C$2,IF('امتیاز دهی خبرگان'!$L84=2,'طیف فازی'!$C$3,IF('امتیاز دهی خبرگان'!$L84=3,'طیف فازی'!$C$4,IF('امتیاز دهی خبرگان'!$L84=4,'طیف فازی'!$C$5,'طیف فازی'!$C$6)))))</f>
        <v>1</v>
      </c>
      <c r="AF84" s="19">
        <f>IF('امتیاز دهی خبرگان'!$L84=0,0,IF('امتیاز دهی خبرگان'!$L84=1,'طیف فازی'!$D$2,IF('امتیاز دهی خبرگان'!$L84=2,'طیف فازی'!$D$3,IF('امتیاز دهی خبرگان'!$L84=3,'طیف فازی'!$D$4,IF('امتیاز دهی خبرگان'!$L84=4,'طیف فازی'!$D$5,'طیف فازی'!$D$6)))))</f>
        <v>1</v>
      </c>
      <c r="AG84" s="17">
        <f>IF('امتیاز دهی خبرگان'!$M84=0,0,IF('امتیاز دهی خبرگان'!$M84=1,'طیف فازی'!$B$2,IF('امتیاز دهی خبرگان'!$M84=2,'طیف فازی'!$B$3,IF('امتیاز دهی خبرگان'!$M84=3,'طیف فازی'!$B$4,IF('امتیاز دهی خبرگان'!$M84=4,'طیف فازی'!$B$5,'طیف فازی'!$B$6)))))</f>
        <v>0.5</v>
      </c>
      <c r="AH84" s="18">
        <f>IF('امتیاز دهی خبرگان'!$M84=0,0,IF('امتیاز دهی خبرگان'!$M84=1,'طیف فازی'!$C$2,IF('امتیاز دهی خبرگان'!$M84=2,'طیف فازی'!$C$3,IF('امتیاز دهی خبرگان'!$M84=3,'طیف فازی'!$C$4,IF('امتیاز دهی خبرگان'!$M84=4,'طیف فازی'!$C$5,'طیف فازی'!$C$6)))))</f>
        <v>0.75</v>
      </c>
      <c r="AI84" s="19">
        <f>IF('امتیاز دهی خبرگان'!$M84=0,0,IF('امتیاز دهی خبرگان'!$M84=1,'طیف فازی'!$D$2,IF('امتیاز دهی خبرگان'!$M84=2,'طیف فازی'!$D$3,IF('امتیاز دهی خبرگان'!$M84=3,'طیف فازی'!$D$4,IF('امتیاز دهی خبرگان'!$M84=4,'طیف فازی'!$D$5,'طیف فازی'!$D$6)))))</f>
        <v>1</v>
      </c>
      <c r="AJ84" s="17">
        <f>IF('امتیاز دهی خبرگان'!$N84=0,0,IF('امتیاز دهی خبرگان'!$N84=1,'طیف فازی'!$B$2,IF('امتیاز دهی خبرگان'!$N84=2,'طیف فازی'!$B$3,IF('امتیاز دهی خبرگان'!$N84=3,'طیف فازی'!$B$4,IF('امتیاز دهی خبرگان'!$N84=4,'طیف فازی'!$B$5,'طیف فازی'!$B$6)))))</f>
        <v>0.5</v>
      </c>
      <c r="AK84" s="18">
        <f>IF('امتیاز دهی خبرگان'!$N84=0,0,IF('امتیاز دهی خبرگان'!$N84=1,'طیف فازی'!$C$2,IF('امتیاز دهی خبرگان'!$N84=2,'طیف فازی'!$C$3,IF('امتیاز دهی خبرگان'!$N84=3,'طیف فازی'!$C$4,IF('امتیاز دهی خبرگان'!$N84=4,'طیف فازی'!$C$5,'طیف فازی'!$C$6)))))</f>
        <v>0.75</v>
      </c>
      <c r="AL84" s="19">
        <f>IF('امتیاز دهی خبرگان'!$N84=0,0,IF('امتیاز دهی خبرگان'!$N84=1,'طیف فازی'!$D$2,IF('امتیاز دهی خبرگان'!$N84=2,'طیف فازی'!$D$3,IF('امتیاز دهی خبرگان'!$N84=3,'طیف فازی'!$D$4,IF('امتیاز دهی خبرگان'!$N84=4,'طیف فازی'!$D$5,'طیف فازی'!$D$6)))))</f>
        <v>1</v>
      </c>
      <c r="AM84" s="23">
        <f t="shared" si="9"/>
        <v>6</v>
      </c>
      <c r="AN84" s="23">
        <f t="shared" si="10"/>
        <v>9</v>
      </c>
      <c r="AO84" s="24">
        <f t="shared" si="11"/>
        <v>11.25</v>
      </c>
      <c r="AP84" s="25">
        <f t="shared" si="12"/>
        <v>0.5</v>
      </c>
      <c r="AQ84" s="23">
        <f t="shared" si="13"/>
        <v>0.75</v>
      </c>
      <c r="AR84" s="24">
        <f t="shared" si="14"/>
        <v>0.9375</v>
      </c>
      <c r="AS84" s="24">
        <f t="shared" si="15"/>
        <v>0.72916666666666663</v>
      </c>
      <c r="AT84" s="24" t="str">
        <f t="shared" si="16"/>
        <v>Pass</v>
      </c>
    </row>
    <row r="85" spans="2:46" ht="23.25" customHeight="1" thickBot="1" x14ac:dyDescent="0.85">
      <c r="B85" s="2">
        <v>81</v>
      </c>
      <c r="C85" s="17">
        <f>IF('امتیاز دهی خبرگان'!$C85=0,0,IF('امتیاز دهی خبرگان'!$C85=1,'طیف فازی'!$B$2,IF('امتیاز دهی خبرگان'!$C85=2,'طیف فازی'!$B$3,IF('امتیاز دهی خبرگان'!$C85=3,'طیف فازی'!$B$4,IF('امتیاز دهی خبرگان'!$C85=4,'طیف فازی'!$B$5,'طیف فازی'!$B$6)))))</f>
        <v>0.75</v>
      </c>
      <c r="D85" s="18">
        <f>IF('امتیاز دهی خبرگان'!$C85=0,0,IF('امتیاز دهی خبرگان'!$C85=1,'طیف فازی'!$C$2,IF('امتیاز دهی خبرگان'!$C85=2,'طیف فازی'!$C$3,IF('امتیاز دهی خبرگان'!$C85=3,'طیف فازی'!$C$4,IF('امتیاز دهی خبرگان'!$C85=4,'طیف فازی'!$C$5,'طیف فازی'!$C$6)))))</f>
        <v>1</v>
      </c>
      <c r="E85" s="19">
        <f>IF('امتیاز دهی خبرگان'!$C85=0,0,IF('امتیاز دهی خبرگان'!$C85=1,'طیف فازی'!$D$2,IF('امتیاز دهی خبرگان'!$C85=2,'طیف فازی'!$D$3,IF('امتیاز دهی خبرگان'!$C85=3,'طیف فازی'!$D$4,IF('امتیاز دهی خبرگان'!$C85=4,'طیف فازی'!$D$5,'طیف فازی'!$D$6)))))</f>
        <v>1</v>
      </c>
      <c r="F85" s="20">
        <f>IF('امتیاز دهی خبرگان'!$D85=0,0,IF('امتیاز دهی خبرگان'!$D85=1,'طیف فازی'!$B$2,IF('امتیاز دهی خبرگان'!$D85=2,'طیف فازی'!$B$3,IF('امتیاز دهی خبرگان'!$D85=3,'طیف فازی'!$B$4,IF('امتیاز دهی خبرگان'!$D85=4,'طیف فازی'!$B$5,'طیف فازی'!$B$6)))))</f>
        <v>0.25</v>
      </c>
      <c r="G85" s="21">
        <f>IF('امتیاز دهی خبرگان'!$D85=0,0,IF('امتیاز دهی خبرگان'!$D85=1,'طیف فازی'!$D$2,IF('امتیاز دهی خبرگان'!$D85=2,'طیف فازی'!$C$3,IF('امتیاز دهی خبرگان'!$D85=3,'طیف فازی'!$C$4,IF('امتیاز دهی خبرگان'!$D85=4,'طیف فازی'!$C$5,'طیف فازی'!$C$6)))))</f>
        <v>0.5</v>
      </c>
      <c r="H85" s="22">
        <f>IF('امتیاز دهی خبرگان'!$D85=0,0,IF('امتیاز دهی خبرگان'!$D85=1,'طیف فازی'!$D$2,IF('امتیاز دهی خبرگان'!$D85=2,'طیف فازی'!$D$3,IF('امتیاز دهی خبرگان'!$D85=3,'طیف فازی'!$D$4,IF('امتیاز دهی خبرگان'!$D85=4,'طیف فازی'!$D$5,'طیف فازی'!$D$6)))))</f>
        <v>0.75</v>
      </c>
      <c r="I85" s="17">
        <f>IF('امتیاز دهی خبرگان'!$E85=0,0,IF('امتیاز دهی خبرگان'!$E85=1,'طیف فازی'!$B$2,IF('امتیاز دهی خبرگان'!$E85=2,'طیف فازی'!$B$3,IF('امتیاز دهی خبرگان'!$E85=3,'طیف فازی'!$B$4,IF('امتیاز دهی خبرگان'!$E85=4,'طیف فازی'!$B$5,'طیف فازی'!$B$6)))))</f>
        <v>0.75</v>
      </c>
      <c r="J85" s="18">
        <f>IF('امتیاز دهی خبرگان'!$E85=0,0,IF('امتیاز دهی خبرگان'!$E85=1,'طیف فازی'!$C$2,IF('امتیاز دهی خبرگان'!$E85=2,'طیف فازی'!$C$3,IF('امتیاز دهی خبرگان'!$E85=3,'طیف فازی'!$C$4,IF('امتیاز دهی خبرگان'!$E85=4,'طیف فازی'!$C$5,'طیف فازی'!$C$6)))))</f>
        <v>1</v>
      </c>
      <c r="K85" s="19">
        <f>IF('امتیاز دهی خبرگان'!$E85=0,0,IF('امتیاز دهی خبرگان'!$E85=1,'طیف فازی'!$D$2,IF('امتیاز دهی خبرگان'!$E85=2,'طیف فازی'!$D$3,IF('امتیاز دهی خبرگان'!$E85=3,'طیف فازی'!$D$4,IF('امتیاز دهی خبرگان'!$E85=4,'طیف فازی'!$D$5,'طیف فازی'!$D$6)))))</f>
        <v>1</v>
      </c>
      <c r="L85" s="17">
        <f>IF('امتیاز دهی خبرگان'!$F85=0,0,IF('امتیاز دهی خبرگان'!$F85=1,'طیف فازی'!$B$2,IF('امتیاز دهی خبرگان'!$F85=2,'طیف فازی'!$B$3,IF('امتیاز دهی خبرگان'!$F85=3,'طیف فازی'!$B$4,IF('امتیاز دهی خبرگان'!$F85=4,'طیف فازی'!$B$5,'طیف فازی'!$B$6)))))</f>
        <v>0.75</v>
      </c>
      <c r="M85" s="18">
        <f>IF('امتیاز دهی خبرگان'!$F85=0,0,IF('امتیاز دهی خبرگان'!$F85=1,'طیف فازی'!$C$2,IF('امتیاز دهی خبرگان'!$F85=2,'طیف فازی'!$C$3,IF('امتیاز دهی خبرگان'!$F85=3,'طیف فازی'!$C$4,IF('امتیاز دهی خبرگان'!$F85=4,'طیف فازی'!$C$5,'طیف فازی'!$C$6)))))</f>
        <v>1</v>
      </c>
      <c r="N85" s="19">
        <f>IF('امتیاز دهی خبرگان'!$F85=0,0,IF('امتیاز دهی خبرگان'!$F85=1,'طیف فازی'!$D$2,IF('امتیاز دهی خبرگان'!$F85=2,'طیف فازی'!$D$3,IF('امتیاز دهی خبرگان'!$F85=3,'طیف فازی'!$D$4,IF('امتیاز دهی خبرگان'!$F85=4,'طیف فازی'!$D$5,'طیف فازی'!$D$6)))))</f>
        <v>1</v>
      </c>
      <c r="O85" s="17">
        <f>IF('امتیاز دهی خبرگان'!$G85=0,0,IF('امتیاز دهی خبرگان'!$G85=1,'طیف فازی'!$B$2,IF('امتیاز دهی خبرگان'!$G85=2,'طیف فازی'!$B$3,IF('امتیاز دهی خبرگان'!$G85=3,'طیف فازی'!$B$4,IF('امتیاز دهی خبرگان'!$G85=4,'طیف فازی'!$B$5,'طیف فازی'!$B$6)))))</f>
        <v>0.75</v>
      </c>
      <c r="P85" s="18">
        <f>IF('امتیاز دهی خبرگان'!$G85=0,0,IF('امتیاز دهی خبرگان'!$G85=1,'طیف فازی'!$C$2,IF('امتیاز دهی خبرگان'!$G85=2,'طیف فازی'!$C$3,IF('امتیاز دهی خبرگان'!$G85=3,'طیف فازی'!$C$4,IF('امتیاز دهی خبرگان'!$G85=4,'طیف فازی'!$C$5,'طیف فازی'!$C$6)))))</f>
        <v>1</v>
      </c>
      <c r="Q85" s="19">
        <f>IF('امتیاز دهی خبرگان'!$G85=0,0,IF('امتیاز دهی خبرگان'!$G85=1,'طیف فازی'!$D$2,IF('امتیاز دهی خبرگان'!$G85=2,'طیف فازی'!$D$3,IF('امتیاز دهی خبرگان'!$G85=3,'طیف فازی'!$D$4,IF('امتیاز دهی خبرگان'!$G85=4,'طیف فازی'!$D$5,'طیف فازی'!$D$6)))))</f>
        <v>1</v>
      </c>
      <c r="R85" s="17">
        <f>IF('امتیاز دهی خبرگان'!$H85=0,0,IF('امتیاز دهی خبرگان'!$H85=1,'طیف فازی'!$B$2,IF('امتیاز دهی خبرگان'!$H85=2,'طیف فازی'!$B$3,IF('امتیاز دهی خبرگان'!$H85=3,'طیف فازی'!$B$4,IF('امتیاز دهی خبرگان'!$H85=4,'طیف فازی'!$B$5,'طیف فازی'!$B$6)))))</f>
        <v>0.5</v>
      </c>
      <c r="S85" s="18">
        <f>IF('امتیاز دهی خبرگان'!$H85=0,0,IF('امتیاز دهی خبرگان'!$H85=1,'طیف فازی'!$C$2,IF('امتیاز دهی خبرگان'!$H85=2,'طیف فازی'!$C$3,IF('امتیاز دهی خبرگان'!$H85=3,'طیف فازی'!$C$4,IF('امتیاز دهی خبرگان'!$H85=4,'طیف فازی'!$C$5,'طیف فازی'!$C$6)))))</f>
        <v>0.75</v>
      </c>
      <c r="T85" s="19">
        <f>IF('امتیاز دهی خبرگان'!$H85=0,0,IF('امتیاز دهی خبرگان'!$H85=1,'طیف فازی'!$D$2,IF('امتیاز دهی خبرگان'!$H85=2,'طیف فازی'!$D$3,IF('امتیاز دهی خبرگان'!$H85=3,'طیف فازی'!$D$4,IF('امتیاز دهی خبرگان'!$H85=4,'طیف فازی'!$D$5,'طیف فازی'!$D$6)))))</f>
        <v>1</v>
      </c>
      <c r="U85" s="17">
        <f>IF('امتیاز دهی خبرگان'!$I85=0,0,IF('امتیاز دهی خبرگان'!$I85=1,'طیف فازی'!$B$2,IF('امتیاز دهی خبرگان'!$I85=2,'طیف فازی'!$B$3,IF('امتیاز دهی خبرگان'!$I85=3,'طیف فازی'!$B$4,IF('امتیاز دهی خبرگان'!$I85=4,'طیف فازی'!$B$5,'طیف فازی'!$B$6)))))</f>
        <v>0.75</v>
      </c>
      <c r="V85" s="18">
        <f>IF('امتیاز دهی خبرگان'!$I85=0,0,IF('امتیاز دهی خبرگان'!$I85=1,'طیف فازی'!$C$2,IF('امتیاز دهی خبرگان'!$I85=2,'طیف فازی'!$C$3,IF('امتیاز دهی خبرگان'!$I85=3,'طیف فازی'!$C$4,IF('امتیاز دهی خبرگان'!$I85=4,'طیف فازی'!$C$5,'طیف فازی'!$C$6)))))</f>
        <v>1</v>
      </c>
      <c r="W85" s="19">
        <f>IF('امتیاز دهی خبرگان'!$I85=0,0,IF('امتیاز دهی خبرگان'!$I85=1,'طیف فازی'!$D$2,IF('امتیاز دهی خبرگان'!$I85=2,'طیف فازی'!$D$3,IF('امتیاز دهی خبرگان'!$I85=3,'طیف فازی'!$D$4,IF('امتیاز دهی خبرگان'!$I85=4,'طیف فازی'!$D$5,'طیف فازی'!$D$6)))))</f>
        <v>1</v>
      </c>
      <c r="X85" s="17">
        <f>IF('امتیاز دهی خبرگان'!$J85=0,0,IF('امتیاز دهی خبرگان'!$J85=1,'طیف فازی'!$B$2,IF('امتیاز دهی خبرگان'!$J85=2,'طیف فازی'!$B$3,IF('امتیاز دهی خبرگان'!$J85=3,'طیف فازی'!$B$4,IF('امتیاز دهی خبرگان'!$J85=4,'طیف فازی'!$B$5,'طیف فازی'!$B$6)))))</f>
        <v>0.5</v>
      </c>
      <c r="Y85" s="18">
        <f>IF('امتیاز دهی خبرگان'!$J85=0,0,IF('امتیاز دهی خبرگان'!$J85=1,'طیف فازی'!$C$2,IF('امتیاز دهی خبرگان'!$J85=2,'طیف فازی'!$C$3,IF('امتیاز دهی خبرگان'!$J85=3,'طیف فازی'!$C$4,IF('امتیاز دهی خبرگان'!$J85=4,'طیف فازی'!$C$5,'طیف فازی'!$C$6)))))</f>
        <v>0.75</v>
      </c>
      <c r="Z85" s="19">
        <f>IF('امتیاز دهی خبرگان'!$J85=0,0,IF('امتیاز دهی خبرگان'!$J85=1,'طیف فازی'!$D$2,IF('امتیاز دهی خبرگان'!$J85=2,'طیف فازی'!$D$3,IF('امتیاز دهی خبرگان'!$J85=3,'طیف فازی'!$D$4,IF('امتیاز دهی خبرگان'!$J85=4,'طیف فازی'!$D$5,'طیف فازی'!$D$6)))))</f>
        <v>1</v>
      </c>
      <c r="AA85" s="17">
        <f>IF('امتیاز دهی خبرگان'!$K85=0,0,IF('امتیاز دهی خبرگان'!$K85=1,'طیف فازی'!$B$2,IF('امتیاز دهی خبرگان'!$K85=2,'طیف فازی'!$B$3,IF('امتیاز دهی خبرگان'!$K85=3,'طیف فازی'!$B$4,IF('امتیاز دهی خبرگان'!$K85=4,'طیف فازی'!$B$5,'طیف فازی'!$B$6)))))</f>
        <v>0.5</v>
      </c>
      <c r="AB85" s="18">
        <f>IF('امتیاز دهی خبرگان'!$K85=0,0,IF('امتیاز دهی خبرگان'!$K85=1,'طیف فازی'!$C$2,IF('امتیاز دهی خبرگان'!$K85=2,'طیف فازی'!$C$3,IF('امتیاز دهی خبرگان'!$K85=3,'طیف فازی'!$C$4,IF('امتیاز دهی خبرگان'!$K85=4,'طیف فازی'!$C$5,'طیف فازی'!$C$6)))))</f>
        <v>0.75</v>
      </c>
      <c r="AC85" s="19">
        <f>IF('امتیاز دهی خبرگان'!$K85=0,0,IF('امتیاز دهی خبرگان'!$K85=1,'طیف فازی'!$D$2,IF('امتیاز دهی خبرگان'!$K85=2,'طیف فازی'!$D$3,IF('امتیاز دهی خبرگان'!$K85=3,'طیف فازی'!$D$4,IF('امتیاز دهی خبرگان'!$K85=4,'طیف فازی'!$D$5,'طیف فازی'!$D$6)))))</f>
        <v>1</v>
      </c>
      <c r="AD85" s="17">
        <f>IF('امتیاز دهی خبرگان'!$L85=0,0,IF('امتیاز دهی خبرگان'!$L85=1,'طیف فازی'!$B$2,IF('امتیاز دهی خبرگان'!$L85=2,'طیف فازی'!$B$3,IF('امتیاز دهی خبرگان'!$L85=3,'طیف فازی'!$B$4,IF('امتیاز دهی خبرگان'!$L85=4,'طیف فازی'!$B$5,'طیف فازی'!$B$6)))))</f>
        <v>0.75</v>
      </c>
      <c r="AE85" s="18">
        <f>IF('امتیاز دهی خبرگان'!$L85=0,0,IF('امتیاز دهی خبرگان'!$L85=1,'طیف فازی'!$C$2,IF('امتیاز دهی خبرگان'!$L85=2,'طیف فازی'!$C$3,IF('امتیاز دهی خبرگان'!$L85=3,'طیف فازی'!$C$4,IF('امتیاز دهی خبرگان'!$L85=4,'طیف فازی'!$C$5,'طیف فازی'!$C$6)))))</f>
        <v>1</v>
      </c>
      <c r="AF85" s="19">
        <f>IF('امتیاز دهی خبرگان'!$L85=0,0,IF('امتیاز دهی خبرگان'!$L85=1,'طیف فازی'!$D$2,IF('امتیاز دهی خبرگان'!$L85=2,'طیف فازی'!$D$3,IF('امتیاز دهی خبرگان'!$L85=3,'طیف فازی'!$D$4,IF('امتیاز دهی خبرگان'!$L85=4,'طیف فازی'!$D$5,'طیف فازی'!$D$6)))))</f>
        <v>1</v>
      </c>
      <c r="AG85" s="17">
        <f>IF('امتیاز دهی خبرگان'!$M85=0,0,IF('امتیاز دهی خبرگان'!$M85=1,'طیف فازی'!$B$2,IF('امتیاز دهی خبرگان'!$M85=2,'طیف فازی'!$B$3,IF('امتیاز دهی خبرگان'!$M85=3,'طیف فازی'!$B$4,IF('امتیاز دهی خبرگان'!$M85=4,'طیف فازی'!$B$5,'طیف فازی'!$B$6)))))</f>
        <v>0.5</v>
      </c>
      <c r="AH85" s="18">
        <f>IF('امتیاز دهی خبرگان'!$M85=0,0,IF('امتیاز دهی خبرگان'!$M85=1,'طیف فازی'!$C$2,IF('امتیاز دهی خبرگان'!$M85=2,'طیف فازی'!$C$3,IF('امتیاز دهی خبرگان'!$M85=3,'طیف فازی'!$C$4,IF('امتیاز دهی خبرگان'!$M85=4,'طیف فازی'!$C$5,'طیف فازی'!$C$6)))))</f>
        <v>0.75</v>
      </c>
      <c r="AI85" s="19">
        <f>IF('امتیاز دهی خبرگان'!$M85=0,0,IF('امتیاز دهی خبرگان'!$M85=1,'طیف فازی'!$D$2,IF('امتیاز دهی خبرگان'!$M85=2,'طیف فازی'!$D$3,IF('امتیاز دهی خبرگان'!$M85=3,'طیف فازی'!$D$4,IF('امتیاز دهی خبرگان'!$M85=4,'طیف فازی'!$D$5,'طیف فازی'!$D$6)))))</f>
        <v>1</v>
      </c>
      <c r="AJ85" s="17">
        <f>IF('امتیاز دهی خبرگان'!$N85=0,0,IF('امتیاز دهی خبرگان'!$N85=1,'طیف فازی'!$B$2,IF('امتیاز دهی خبرگان'!$N85=2,'طیف فازی'!$B$3,IF('امتیاز دهی خبرگان'!$N85=3,'طیف فازی'!$B$4,IF('امتیاز دهی خبرگان'!$N85=4,'طیف فازی'!$B$5,'طیف فازی'!$B$6)))))</f>
        <v>0.25</v>
      </c>
      <c r="AK85" s="18">
        <f>IF('امتیاز دهی خبرگان'!$N85=0,0,IF('امتیاز دهی خبرگان'!$N85=1,'طیف فازی'!$C$2,IF('امتیاز دهی خبرگان'!$N85=2,'طیف فازی'!$C$3,IF('امتیاز دهی خبرگان'!$N85=3,'طیف فازی'!$C$4,IF('امتیاز دهی خبرگان'!$N85=4,'طیف فازی'!$C$5,'طیف فازی'!$C$6)))))</f>
        <v>0.5</v>
      </c>
      <c r="AL85" s="19">
        <f>IF('امتیاز دهی خبرگان'!$N85=0,0,IF('امتیاز دهی خبرگان'!$N85=1,'طیف فازی'!$D$2,IF('امتیاز دهی خبرگان'!$N85=2,'طیف فازی'!$D$3,IF('امتیاز دهی خبرگان'!$N85=3,'طیف فازی'!$D$4,IF('امتیاز دهی خبرگان'!$N85=4,'طیف فازی'!$D$5,'طیف فازی'!$D$6)))))</f>
        <v>0.75</v>
      </c>
      <c r="AM85" s="23">
        <f t="shared" si="9"/>
        <v>7</v>
      </c>
      <c r="AN85" s="23">
        <f t="shared" si="10"/>
        <v>10</v>
      </c>
      <c r="AO85" s="24">
        <f t="shared" si="11"/>
        <v>11.5</v>
      </c>
      <c r="AP85" s="25">
        <f t="shared" si="12"/>
        <v>0.58333333333333337</v>
      </c>
      <c r="AQ85" s="23">
        <f t="shared" si="13"/>
        <v>0.83333333333333337</v>
      </c>
      <c r="AR85" s="24">
        <f t="shared" si="14"/>
        <v>0.95833333333333337</v>
      </c>
      <c r="AS85" s="24">
        <f t="shared" si="15"/>
        <v>0.79166666666666663</v>
      </c>
      <c r="AT85" s="24" t="str">
        <f t="shared" si="16"/>
        <v>Pass</v>
      </c>
    </row>
    <row r="86" spans="2:46" ht="23.25" customHeight="1" thickBot="1" x14ac:dyDescent="0.85">
      <c r="B86" s="2">
        <v>82</v>
      </c>
      <c r="C86" s="17">
        <f>IF('امتیاز دهی خبرگان'!$C86=0,0,IF('امتیاز دهی خبرگان'!$C86=1,'طیف فازی'!$B$2,IF('امتیاز دهی خبرگان'!$C86=2,'طیف فازی'!$B$3,IF('امتیاز دهی خبرگان'!$C86=3,'طیف فازی'!$B$4,IF('امتیاز دهی خبرگان'!$C86=4,'طیف فازی'!$B$5,'طیف فازی'!$B$6)))))</f>
        <v>0.75</v>
      </c>
      <c r="D86" s="18">
        <f>IF('امتیاز دهی خبرگان'!$C86=0,0,IF('امتیاز دهی خبرگان'!$C86=1,'طیف فازی'!$C$2,IF('امتیاز دهی خبرگان'!$C86=2,'طیف فازی'!$C$3,IF('امتیاز دهی خبرگان'!$C86=3,'طیف فازی'!$C$4,IF('امتیاز دهی خبرگان'!$C86=4,'طیف فازی'!$C$5,'طیف فازی'!$C$6)))))</f>
        <v>1</v>
      </c>
      <c r="E86" s="19">
        <f>IF('امتیاز دهی خبرگان'!$C86=0,0,IF('امتیاز دهی خبرگان'!$C86=1,'طیف فازی'!$D$2,IF('امتیاز دهی خبرگان'!$C86=2,'طیف فازی'!$D$3,IF('امتیاز دهی خبرگان'!$C86=3,'طیف فازی'!$D$4,IF('امتیاز دهی خبرگان'!$C86=4,'طیف فازی'!$D$5,'طیف فازی'!$D$6)))))</f>
        <v>1</v>
      </c>
      <c r="F86" s="20">
        <f>IF('امتیاز دهی خبرگان'!$D86=0,0,IF('امتیاز دهی خبرگان'!$D86=1,'طیف فازی'!$B$2,IF('امتیاز دهی خبرگان'!$D86=2,'طیف فازی'!$B$3,IF('امتیاز دهی خبرگان'!$D86=3,'طیف فازی'!$B$4,IF('امتیاز دهی خبرگان'!$D86=4,'طیف فازی'!$B$5,'طیف فازی'!$B$6)))))</f>
        <v>0.25</v>
      </c>
      <c r="G86" s="21">
        <f>IF('امتیاز دهی خبرگان'!$D86=0,0,IF('امتیاز دهی خبرگان'!$D86=1,'طیف فازی'!$D$2,IF('امتیاز دهی خبرگان'!$D86=2,'طیف فازی'!$C$3,IF('امتیاز دهی خبرگان'!$D86=3,'طیف فازی'!$C$4,IF('امتیاز دهی خبرگان'!$D86=4,'طیف فازی'!$C$5,'طیف فازی'!$C$6)))))</f>
        <v>0.5</v>
      </c>
      <c r="H86" s="22">
        <f>IF('امتیاز دهی خبرگان'!$D86=0,0,IF('امتیاز دهی خبرگان'!$D86=1,'طیف فازی'!$D$2,IF('امتیاز دهی خبرگان'!$D86=2,'طیف فازی'!$D$3,IF('امتیاز دهی خبرگان'!$D86=3,'طیف فازی'!$D$4,IF('امتیاز دهی خبرگان'!$D86=4,'طیف فازی'!$D$5,'طیف فازی'!$D$6)))))</f>
        <v>0.75</v>
      </c>
      <c r="I86" s="17">
        <f>IF('امتیاز دهی خبرگان'!$E86=0,0,IF('امتیاز دهی خبرگان'!$E86=1,'طیف فازی'!$B$2,IF('امتیاز دهی خبرگان'!$E86=2,'طیف فازی'!$B$3,IF('امتیاز دهی خبرگان'!$E86=3,'طیف فازی'!$B$4,IF('امتیاز دهی خبرگان'!$E86=4,'طیف فازی'!$B$5,'طیف فازی'!$B$6)))))</f>
        <v>0.5</v>
      </c>
      <c r="J86" s="18">
        <f>IF('امتیاز دهی خبرگان'!$E86=0,0,IF('امتیاز دهی خبرگان'!$E86=1,'طیف فازی'!$C$2,IF('امتیاز دهی خبرگان'!$E86=2,'طیف فازی'!$C$3,IF('امتیاز دهی خبرگان'!$E86=3,'طیف فازی'!$C$4,IF('امتیاز دهی خبرگان'!$E86=4,'طیف فازی'!$C$5,'طیف فازی'!$C$6)))))</f>
        <v>0.75</v>
      </c>
      <c r="K86" s="19">
        <f>IF('امتیاز دهی خبرگان'!$E86=0,0,IF('امتیاز دهی خبرگان'!$E86=1,'طیف فازی'!$D$2,IF('امتیاز دهی خبرگان'!$E86=2,'طیف فازی'!$D$3,IF('امتیاز دهی خبرگان'!$E86=3,'طیف فازی'!$D$4,IF('امتیاز دهی خبرگان'!$E86=4,'طیف فازی'!$D$5,'طیف فازی'!$D$6)))))</f>
        <v>1</v>
      </c>
      <c r="L86" s="17">
        <f>IF('امتیاز دهی خبرگان'!$F86=0,0,IF('امتیاز دهی خبرگان'!$F86=1,'طیف فازی'!$B$2,IF('امتیاز دهی خبرگان'!$F86=2,'طیف فازی'!$B$3,IF('امتیاز دهی خبرگان'!$F86=3,'طیف فازی'!$B$4,IF('امتیاز دهی خبرگان'!$F86=4,'طیف فازی'!$B$5,'طیف فازی'!$B$6)))))</f>
        <v>0.75</v>
      </c>
      <c r="M86" s="18">
        <f>IF('امتیاز دهی خبرگان'!$F86=0,0,IF('امتیاز دهی خبرگان'!$F86=1,'طیف فازی'!$C$2,IF('امتیاز دهی خبرگان'!$F86=2,'طیف فازی'!$C$3,IF('امتیاز دهی خبرگان'!$F86=3,'طیف فازی'!$C$4,IF('امتیاز دهی خبرگان'!$F86=4,'طیف فازی'!$C$5,'طیف فازی'!$C$6)))))</f>
        <v>1</v>
      </c>
      <c r="N86" s="19">
        <f>IF('امتیاز دهی خبرگان'!$F86=0,0,IF('امتیاز دهی خبرگان'!$F86=1,'طیف فازی'!$D$2,IF('امتیاز دهی خبرگان'!$F86=2,'طیف فازی'!$D$3,IF('امتیاز دهی خبرگان'!$F86=3,'طیف فازی'!$D$4,IF('امتیاز دهی خبرگان'!$F86=4,'طیف فازی'!$D$5,'طیف فازی'!$D$6)))))</f>
        <v>1</v>
      </c>
      <c r="O86" s="17">
        <f>IF('امتیاز دهی خبرگان'!$G86=0,0,IF('امتیاز دهی خبرگان'!$G86=1,'طیف فازی'!$B$2,IF('امتیاز دهی خبرگان'!$G86=2,'طیف فازی'!$B$3,IF('امتیاز دهی خبرگان'!$G86=3,'طیف فازی'!$B$4,IF('امتیاز دهی خبرگان'!$G86=4,'طیف فازی'!$B$5,'طیف فازی'!$B$6)))))</f>
        <v>0.75</v>
      </c>
      <c r="P86" s="18">
        <f>IF('امتیاز دهی خبرگان'!$G86=0,0,IF('امتیاز دهی خبرگان'!$G86=1,'طیف فازی'!$C$2,IF('امتیاز دهی خبرگان'!$G86=2,'طیف فازی'!$C$3,IF('امتیاز دهی خبرگان'!$G86=3,'طیف فازی'!$C$4,IF('امتیاز دهی خبرگان'!$G86=4,'طیف فازی'!$C$5,'طیف فازی'!$C$6)))))</f>
        <v>1</v>
      </c>
      <c r="Q86" s="19">
        <f>IF('امتیاز دهی خبرگان'!$G86=0,0,IF('امتیاز دهی خبرگان'!$G86=1,'طیف فازی'!$D$2,IF('امتیاز دهی خبرگان'!$G86=2,'طیف فازی'!$D$3,IF('امتیاز دهی خبرگان'!$G86=3,'طیف فازی'!$D$4,IF('امتیاز دهی خبرگان'!$G86=4,'طیف فازی'!$D$5,'طیف فازی'!$D$6)))))</f>
        <v>1</v>
      </c>
      <c r="R86" s="17">
        <f>IF('امتیاز دهی خبرگان'!$H86=0,0,IF('امتیاز دهی خبرگان'!$H86=1,'طیف فازی'!$B$2,IF('امتیاز دهی خبرگان'!$H86=2,'طیف فازی'!$B$3,IF('امتیاز دهی خبرگان'!$H86=3,'طیف فازی'!$B$4,IF('امتیاز دهی خبرگان'!$H86=4,'طیف فازی'!$B$5,'طیف فازی'!$B$6)))))</f>
        <v>0</v>
      </c>
      <c r="S86" s="18">
        <f>IF('امتیاز دهی خبرگان'!$H86=0,0,IF('امتیاز دهی خبرگان'!$H86=1,'طیف فازی'!$C$2,IF('امتیاز دهی خبرگان'!$H86=2,'طیف فازی'!$C$3,IF('امتیاز دهی خبرگان'!$H86=3,'طیف فازی'!$C$4,IF('امتیاز دهی خبرگان'!$H86=4,'طیف فازی'!$C$5,'طیف فازی'!$C$6)))))</f>
        <v>0.25</v>
      </c>
      <c r="T86" s="19">
        <f>IF('امتیاز دهی خبرگان'!$H86=0,0,IF('امتیاز دهی خبرگان'!$H86=1,'طیف فازی'!$D$2,IF('امتیاز دهی خبرگان'!$H86=2,'طیف فازی'!$D$3,IF('امتیاز دهی خبرگان'!$H86=3,'طیف فازی'!$D$4,IF('امتیاز دهی خبرگان'!$H86=4,'طیف فازی'!$D$5,'طیف فازی'!$D$6)))))</f>
        <v>0.5</v>
      </c>
      <c r="U86" s="17">
        <f>IF('امتیاز دهی خبرگان'!$I86=0,0,IF('امتیاز دهی خبرگان'!$I86=1,'طیف فازی'!$B$2,IF('امتیاز دهی خبرگان'!$I86=2,'طیف فازی'!$B$3,IF('امتیاز دهی خبرگان'!$I86=3,'طیف فازی'!$B$4,IF('امتیاز دهی خبرگان'!$I86=4,'طیف فازی'!$B$5,'طیف فازی'!$B$6)))))</f>
        <v>0.25</v>
      </c>
      <c r="V86" s="18">
        <f>IF('امتیاز دهی خبرگان'!$I86=0,0,IF('امتیاز دهی خبرگان'!$I86=1,'طیف فازی'!$C$2,IF('امتیاز دهی خبرگان'!$I86=2,'طیف فازی'!$C$3,IF('امتیاز دهی خبرگان'!$I86=3,'طیف فازی'!$C$4,IF('امتیاز دهی خبرگان'!$I86=4,'طیف فازی'!$C$5,'طیف فازی'!$C$6)))))</f>
        <v>0.5</v>
      </c>
      <c r="W86" s="19">
        <f>IF('امتیاز دهی خبرگان'!$I86=0,0,IF('امتیاز دهی خبرگان'!$I86=1,'طیف فازی'!$D$2,IF('امتیاز دهی خبرگان'!$I86=2,'طیف فازی'!$D$3,IF('امتیاز دهی خبرگان'!$I86=3,'طیف فازی'!$D$4,IF('امتیاز دهی خبرگان'!$I86=4,'طیف فازی'!$D$5,'طیف فازی'!$D$6)))))</f>
        <v>0.75</v>
      </c>
      <c r="X86" s="17">
        <f>IF('امتیاز دهی خبرگان'!$J86=0,0,IF('امتیاز دهی خبرگان'!$J86=1,'طیف فازی'!$B$2,IF('امتیاز دهی خبرگان'!$J86=2,'طیف فازی'!$B$3,IF('امتیاز دهی خبرگان'!$J86=3,'طیف فازی'!$B$4,IF('امتیاز دهی خبرگان'!$J86=4,'طیف فازی'!$B$5,'طیف فازی'!$B$6)))))</f>
        <v>0.75</v>
      </c>
      <c r="Y86" s="18">
        <f>IF('امتیاز دهی خبرگان'!$J86=0,0,IF('امتیاز دهی خبرگان'!$J86=1,'طیف فازی'!$C$2,IF('امتیاز دهی خبرگان'!$J86=2,'طیف فازی'!$C$3,IF('امتیاز دهی خبرگان'!$J86=3,'طیف فازی'!$C$4,IF('امتیاز دهی خبرگان'!$J86=4,'طیف فازی'!$C$5,'طیف فازی'!$C$6)))))</f>
        <v>1</v>
      </c>
      <c r="Z86" s="19">
        <f>IF('امتیاز دهی خبرگان'!$J86=0,0,IF('امتیاز دهی خبرگان'!$J86=1,'طیف فازی'!$D$2,IF('امتیاز دهی خبرگان'!$J86=2,'طیف فازی'!$D$3,IF('امتیاز دهی خبرگان'!$J86=3,'طیف فازی'!$D$4,IF('امتیاز دهی خبرگان'!$J86=4,'طیف فازی'!$D$5,'طیف فازی'!$D$6)))))</f>
        <v>1</v>
      </c>
      <c r="AA86" s="17">
        <f>IF('امتیاز دهی خبرگان'!$K86=0,0,IF('امتیاز دهی خبرگان'!$K86=1,'طیف فازی'!$B$2,IF('امتیاز دهی خبرگان'!$K86=2,'طیف فازی'!$B$3,IF('امتیاز دهی خبرگان'!$K86=3,'طیف فازی'!$B$4,IF('امتیاز دهی خبرگان'!$K86=4,'طیف فازی'!$B$5,'طیف فازی'!$B$6)))))</f>
        <v>0.75</v>
      </c>
      <c r="AB86" s="18">
        <f>IF('امتیاز دهی خبرگان'!$K86=0,0,IF('امتیاز دهی خبرگان'!$K86=1,'طیف فازی'!$C$2,IF('امتیاز دهی خبرگان'!$K86=2,'طیف فازی'!$C$3,IF('امتیاز دهی خبرگان'!$K86=3,'طیف فازی'!$C$4,IF('امتیاز دهی خبرگان'!$K86=4,'طیف فازی'!$C$5,'طیف فازی'!$C$6)))))</f>
        <v>1</v>
      </c>
      <c r="AC86" s="19">
        <f>IF('امتیاز دهی خبرگان'!$K86=0,0,IF('امتیاز دهی خبرگان'!$K86=1,'طیف فازی'!$D$2,IF('امتیاز دهی خبرگان'!$K86=2,'طیف فازی'!$D$3,IF('امتیاز دهی خبرگان'!$K86=3,'طیف فازی'!$D$4,IF('امتیاز دهی خبرگان'!$K86=4,'طیف فازی'!$D$5,'طیف فازی'!$D$6)))))</f>
        <v>1</v>
      </c>
      <c r="AD86" s="17">
        <f>IF('امتیاز دهی خبرگان'!$L86=0,0,IF('امتیاز دهی خبرگان'!$L86=1,'طیف فازی'!$B$2,IF('امتیاز دهی خبرگان'!$L86=2,'طیف فازی'!$B$3,IF('امتیاز دهی خبرگان'!$L86=3,'طیف فازی'!$B$4,IF('امتیاز دهی خبرگان'!$L86=4,'طیف فازی'!$B$5,'طیف فازی'!$B$6)))))</f>
        <v>0.75</v>
      </c>
      <c r="AE86" s="18">
        <f>IF('امتیاز دهی خبرگان'!$L86=0,0,IF('امتیاز دهی خبرگان'!$L86=1,'طیف فازی'!$C$2,IF('امتیاز دهی خبرگان'!$L86=2,'طیف فازی'!$C$3,IF('امتیاز دهی خبرگان'!$L86=3,'طیف فازی'!$C$4,IF('امتیاز دهی خبرگان'!$L86=4,'طیف فازی'!$C$5,'طیف فازی'!$C$6)))))</f>
        <v>1</v>
      </c>
      <c r="AF86" s="19">
        <f>IF('امتیاز دهی خبرگان'!$L86=0,0,IF('امتیاز دهی خبرگان'!$L86=1,'طیف فازی'!$D$2,IF('امتیاز دهی خبرگان'!$L86=2,'طیف فازی'!$D$3,IF('امتیاز دهی خبرگان'!$L86=3,'طیف فازی'!$D$4,IF('امتیاز دهی خبرگان'!$L86=4,'طیف فازی'!$D$5,'طیف فازی'!$D$6)))))</f>
        <v>1</v>
      </c>
      <c r="AG86" s="17">
        <f>IF('امتیاز دهی خبرگان'!$M86=0,0,IF('امتیاز دهی خبرگان'!$M86=1,'طیف فازی'!$B$2,IF('امتیاز دهی خبرگان'!$M86=2,'طیف فازی'!$B$3,IF('امتیاز دهی خبرگان'!$M86=3,'طیف فازی'!$B$4,IF('امتیاز دهی خبرگان'!$M86=4,'طیف فازی'!$B$5,'طیف فازی'!$B$6)))))</f>
        <v>0.5</v>
      </c>
      <c r="AH86" s="18">
        <f>IF('امتیاز دهی خبرگان'!$M86=0,0,IF('امتیاز دهی خبرگان'!$M86=1,'طیف فازی'!$C$2,IF('امتیاز دهی خبرگان'!$M86=2,'طیف فازی'!$C$3,IF('امتیاز دهی خبرگان'!$M86=3,'طیف فازی'!$C$4,IF('امتیاز دهی خبرگان'!$M86=4,'طیف فازی'!$C$5,'طیف فازی'!$C$6)))))</f>
        <v>0.75</v>
      </c>
      <c r="AI86" s="19">
        <f>IF('امتیاز دهی خبرگان'!$M86=0,0,IF('امتیاز دهی خبرگان'!$M86=1,'طیف فازی'!$D$2,IF('امتیاز دهی خبرگان'!$M86=2,'طیف فازی'!$D$3,IF('امتیاز دهی خبرگان'!$M86=3,'طیف فازی'!$D$4,IF('امتیاز دهی خبرگان'!$M86=4,'طیف فازی'!$D$5,'طیف فازی'!$D$6)))))</f>
        <v>1</v>
      </c>
      <c r="AJ86" s="17">
        <f>IF('امتیاز دهی خبرگان'!$N86=0,0,IF('امتیاز دهی خبرگان'!$N86=1,'طیف فازی'!$B$2,IF('امتیاز دهی خبرگان'!$N86=2,'طیف فازی'!$B$3,IF('امتیاز دهی خبرگان'!$N86=3,'طیف فازی'!$B$4,IF('امتیاز دهی خبرگان'!$N86=4,'طیف فازی'!$B$5,'طیف فازی'!$B$6)))))</f>
        <v>0.5</v>
      </c>
      <c r="AK86" s="18">
        <f>IF('امتیاز دهی خبرگان'!$N86=0,0,IF('امتیاز دهی خبرگان'!$N86=1,'طیف فازی'!$C$2,IF('امتیاز دهی خبرگان'!$N86=2,'طیف فازی'!$C$3,IF('امتیاز دهی خبرگان'!$N86=3,'طیف فازی'!$C$4,IF('امتیاز دهی خبرگان'!$N86=4,'طیف فازی'!$C$5,'طیف فازی'!$C$6)))))</f>
        <v>0.75</v>
      </c>
      <c r="AL86" s="19">
        <f>IF('امتیاز دهی خبرگان'!$N86=0,0,IF('امتیاز دهی خبرگان'!$N86=1,'طیف فازی'!$D$2,IF('امتیاز دهی خبرگان'!$N86=2,'طیف فازی'!$D$3,IF('امتیاز دهی خبرگان'!$N86=3,'طیف فازی'!$D$4,IF('امتیاز دهی خبرگان'!$N86=4,'طیف فازی'!$D$5,'طیف فازی'!$D$6)))))</f>
        <v>1</v>
      </c>
      <c r="AM86" s="23">
        <f t="shared" si="9"/>
        <v>6.5</v>
      </c>
      <c r="AN86" s="23">
        <f t="shared" si="10"/>
        <v>9.5</v>
      </c>
      <c r="AO86" s="24">
        <f t="shared" si="11"/>
        <v>11</v>
      </c>
      <c r="AP86" s="25">
        <f t="shared" si="12"/>
        <v>0.54166666666666663</v>
      </c>
      <c r="AQ86" s="23">
        <f t="shared" si="13"/>
        <v>0.79166666666666663</v>
      </c>
      <c r="AR86" s="24">
        <f t="shared" si="14"/>
        <v>0.91666666666666663</v>
      </c>
      <c r="AS86" s="24">
        <f t="shared" si="15"/>
        <v>0.75</v>
      </c>
      <c r="AT86" s="24" t="str">
        <f t="shared" si="16"/>
        <v>Pass</v>
      </c>
    </row>
    <row r="87" spans="2:46" ht="23.25" customHeight="1" thickBot="1" x14ac:dyDescent="0.85">
      <c r="B87" s="2">
        <v>83</v>
      </c>
      <c r="C87" s="17">
        <f>IF('امتیاز دهی خبرگان'!$C87=0,0,IF('امتیاز دهی خبرگان'!$C87=1,'طیف فازی'!$B$2,IF('امتیاز دهی خبرگان'!$C87=2,'طیف فازی'!$B$3,IF('امتیاز دهی خبرگان'!$C87=3,'طیف فازی'!$B$4,IF('امتیاز دهی خبرگان'!$C87=4,'طیف فازی'!$B$5,'طیف فازی'!$B$6)))))</f>
        <v>0.75</v>
      </c>
      <c r="D87" s="18">
        <f>IF('امتیاز دهی خبرگان'!$C87=0,0,IF('امتیاز دهی خبرگان'!$C87=1,'طیف فازی'!$C$2,IF('امتیاز دهی خبرگان'!$C87=2,'طیف فازی'!$C$3,IF('امتیاز دهی خبرگان'!$C87=3,'طیف فازی'!$C$4,IF('امتیاز دهی خبرگان'!$C87=4,'طیف فازی'!$C$5,'طیف فازی'!$C$6)))))</f>
        <v>1</v>
      </c>
      <c r="E87" s="19">
        <f>IF('امتیاز دهی خبرگان'!$C87=0,0,IF('امتیاز دهی خبرگان'!$C87=1,'طیف فازی'!$D$2,IF('امتیاز دهی خبرگان'!$C87=2,'طیف فازی'!$D$3,IF('امتیاز دهی خبرگان'!$C87=3,'طیف فازی'!$D$4,IF('امتیاز دهی خبرگان'!$C87=4,'طیف فازی'!$D$5,'طیف فازی'!$D$6)))))</f>
        <v>1</v>
      </c>
      <c r="F87" s="20">
        <f>IF('امتیاز دهی خبرگان'!$D87=0,0,IF('امتیاز دهی خبرگان'!$D87=1,'طیف فازی'!$B$2,IF('امتیاز دهی خبرگان'!$D87=2,'طیف فازی'!$B$3,IF('امتیاز دهی خبرگان'!$D87=3,'طیف فازی'!$B$4,IF('امتیاز دهی خبرگان'!$D87=4,'طیف فازی'!$B$5,'طیف فازی'!$B$6)))))</f>
        <v>0.5</v>
      </c>
      <c r="G87" s="21">
        <f>IF('امتیاز دهی خبرگان'!$D87=0,0,IF('امتیاز دهی خبرگان'!$D87=1,'طیف فازی'!$D$2,IF('امتیاز دهی خبرگان'!$D87=2,'طیف فازی'!$C$3,IF('امتیاز دهی خبرگان'!$D87=3,'طیف فازی'!$C$4,IF('امتیاز دهی خبرگان'!$D87=4,'طیف فازی'!$C$5,'طیف فازی'!$C$6)))))</f>
        <v>0.75</v>
      </c>
      <c r="H87" s="22">
        <f>IF('امتیاز دهی خبرگان'!$D87=0,0,IF('امتیاز دهی خبرگان'!$D87=1,'طیف فازی'!$D$2,IF('امتیاز دهی خبرگان'!$D87=2,'طیف فازی'!$D$3,IF('امتیاز دهی خبرگان'!$D87=3,'طیف فازی'!$D$4,IF('امتیاز دهی خبرگان'!$D87=4,'طیف فازی'!$D$5,'طیف فازی'!$D$6)))))</f>
        <v>1</v>
      </c>
      <c r="I87" s="17">
        <f>IF('امتیاز دهی خبرگان'!$E87=0,0,IF('امتیاز دهی خبرگان'!$E87=1,'طیف فازی'!$B$2,IF('امتیاز دهی خبرگان'!$E87=2,'طیف فازی'!$B$3,IF('امتیاز دهی خبرگان'!$E87=3,'طیف فازی'!$B$4,IF('امتیاز دهی خبرگان'!$E87=4,'طیف فازی'!$B$5,'طیف فازی'!$B$6)))))</f>
        <v>0.25</v>
      </c>
      <c r="J87" s="18">
        <f>IF('امتیاز دهی خبرگان'!$E87=0,0,IF('امتیاز دهی خبرگان'!$E87=1,'طیف فازی'!$C$2,IF('امتیاز دهی خبرگان'!$E87=2,'طیف فازی'!$C$3,IF('امتیاز دهی خبرگان'!$E87=3,'طیف فازی'!$C$4,IF('امتیاز دهی خبرگان'!$E87=4,'طیف فازی'!$C$5,'طیف فازی'!$C$6)))))</f>
        <v>0.5</v>
      </c>
      <c r="K87" s="19">
        <f>IF('امتیاز دهی خبرگان'!$E87=0,0,IF('امتیاز دهی خبرگان'!$E87=1,'طیف فازی'!$D$2,IF('امتیاز دهی خبرگان'!$E87=2,'طیف فازی'!$D$3,IF('امتیاز دهی خبرگان'!$E87=3,'طیف فازی'!$D$4,IF('امتیاز دهی خبرگان'!$E87=4,'طیف فازی'!$D$5,'طیف فازی'!$D$6)))))</f>
        <v>0.75</v>
      </c>
      <c r="L87" s="17">
        <f>IF('امتیاز دهی خبرگان'!$F87=0,0,IF('امتیاز دهی خبرگان'!$F87=1,'طیف فازی'!$B$2,IF('امتیاز دهی خبرگان'!$F87=2,'طیف فازی'!$B$3,IF('امتیاز دهی خبرگان'!$F87=3,'طیف فازی'!$B$4,IF('امتیاز دهی خبرگان'!$F87=4,'طیف فازی'!$B$5,'طیف فازی'!$B$6)))))</f>
        <v>0.75</v>
      </c>
      <c r="M87" s="18">
        <f>IF('امتیاز دهی خبرگان'!$F87=0,0,IF('امتیاز دهی خبرگان'!$F87=1,'طیف فازی'!$C$2,IF('امتیاز دهی خبرگان'!$F87=2,'طیف فازی'!$C$3,IF('امتیاز دهی خبرگان'!$F87=3,'طیف فازی'!$C$4,IF('امتیاز دهی خبرگان'!$F87=4,'طیف فازی'!$C$5,'طیف فازی'!$C$6)))))</f>
        <v>1</v>
      </c>
      <c r="N87" s="19">
        <f>IF('امتیاز دهی خبرگان'!$F87=0,0,IF('امتیاز دهی خبرگان'!$F87=1,'طیف فازی'!$D$2,IF('امتیاز دهی خبرگان'!$F87=2,'طیف فازی'!$D$3,IF('امتیاز دهی خبرگان'!$F87=3,'طیف فازی'!$D$4,IF('امتیاز دهی خبرگان'!$F87=4,'طیف فازی'!$D$5,'طیف فازی'!$D$6)))))</f>
        <v>1</v>
      </c>
      <c r="O87" s="17">
        <f>IF('امتیاز دهی خبرگان'!$G87=0,0,IF('امتیاز دهی خبرگان'!$G87=1,'طیف فازی'!$B$2,IF('امتیاز دهی خبرگان'!$G87=2,'طیف فازی'!$B$3,IF('امتیاز دهی خبرگان'!$G87=3,'طیف فازی'!$B$4,IF('امتیاز دهی خبرگان'!$G87=4,'طیف فازی'!$B$5,'طیف فازی'!$B$6)))))</f>
        <v>0.75</v>
      </c>
      <c r="P87" s="18">
        <f>IF('امتیاز دهی خبرگان'!$G87=0,0,IF('امتیاز دهی خبرگان'!$G87=1,'طیف فازی'!$C$2,IF('امتیاز دهی خبرگان'!$G87=2,'طیف فازی'!$C$3,IF('امتیاز دهی خبرگان'!$G87=3,'طیف فازی'!$C$4,IF('امتیاز دهی خبرگان'!$G87=4,'طیف فازی'!$C$5,'طیف فازی'!$C$6)))))</f>
        <v>1</v>
      </c>
      <c r="Q87" s="19">
        <f>IF('امتیاز دهی خبرگان'!$G87=0,0,IF('امتیاز دهی خبرگان'!$G87=1,'طیف فازی'!$D$2,IF('امتیاز دهی خبرگان'!$G87=2,'طیف فازی'!$D$3,IF('امتیاز دهی خبرگان'!$G87=3,'طیف فازی'!$D$4,IF('امتیاز دهی خبرگان'!$G87=4,'طیف فازی'!$D$5,'طیف فازی'!$D$6)))))</f>
        <v>1</v>
      </c>
      <c r="R87" s="17">
        <f>IF('امتیاز دهی خبرگان'!$H87=0,0,IF('امتیاز دهی خبرگان'!$H87=1,'طیف فازی'!$B$2,IF('امتیاز دهی خبرگان'!$H87=2,'طیف فازی'!$B$3,IF('امتیاز دهی خبرگان'!$H87=3,'طیف فازی'!$B$4,IF('امتیاز دهی خبرگان'!$H87=4,'طیف فازی'!$B$5,'طیف فازی'!$B$6)))))</f>
        <v>0.25</v>
      </c>
      <c r="S87" s="18">
        <f>IF('امتیاز دهی خبرگان'!$H87=0,0,IF('امتیاز دهی خبرگان'!$H87=1,'طیف فازی'!$C$2,IF('امتیاز دهی خبرگان'!$H87=2,'طیف فازی'!$C$3,IF('امتیاز دهی خبرگان'!$H87=3,'طیف فازی'!$C$4,IF('امتیاز دهی خبرگان'!$H87=4,'طیف فازی'!$C$5,'طیف فازی'!$C$6)))))</f>
        <v>0.5</v>
      </c>
      <c r="T87" s="19">
        <f>IF('امتیاز دهی خبرگان'!$H87=0,0,IF('امتیاز دهی خبرگان'!$H87=1,'طیف فازی'!$D$2,IF('امتیاز دهی خبرگان'!$H87=2,'طیف فازی'!$D$3,IF('امتیاز دهی خبرگان'!$H87=3,'طیف فازی'!$D$4,IF('امتیاز دهی خبرگان'!$H87=4,'طیف فازی'!$D$5,'طیف فازی'!$D$6)))))</f>
        <v>0.75</v>
      </c>
      <c r="U87" s="17">
        <f>IF('امتیاز دهی خبرگان'!$I87=0,0,IF('امتیاز دهی خبرگان'!$I87=1,'طیف فازی'!$B$2,IF('امتیاز دهی خبرگان'!$I87=2,'طیف فازی'!$B$3,IF('امتیاز دهی خبرگان'!$I87=3,'طیف فازی'!$B$4,IF('امتیاز دهی خبرگان'!$I87=4,'طیف فازی'!$B$5,'طیف فازی'!$B$6)))))</f>
        <v>0.5</v>
      </c>
      <c r="V87" s="18">
        <f>IF('امتیاز دهی خبرگان'!$I87=0,0,IF('امتیاز دهی خبرگان'!$I87=1,'طیف فازی'!$C$2,IF('امتیاز دهی خبرگان'!$I87=2,'طیف فازی'!$C$3,IF('امتیاز دهی خبرگان'!$I87=3,'طیف فازی'!$C$4,IF('امتیاز دهی خبرگان'!$I87=4,'طیف فازی'!$C$5,'طیف فازی'!$C$6)))))</f>
        <v>0.75</v>
      </c>
      <c r="W87" s="19">
        <f>IF('امتیاز دهی خبرگان'!$I87=0,0,IF('امتیاز دهی خبرگان'!$I87=1,'طیف فازی'!$D$2,IF('امتیاز دهی خبرگان'!$I87=2,'طیف فازی'!$D$3,IF('امتیاز دهی خبرگان'!$I87=3,'طیف فازی'!$D$4,IF('امتیاز دهی خبرگان'!$I87=4,'طیف فازی'!$D$5,'طیف فازی'!$D$6)))))</f>
        <v>1</v>
      </c>
      <c r="X87" s="17">
        <f>IF('امتیاز دهی خبرگان'!$J87=0,0,IF('امتیاز دهی خبرگان'!$J87=1,'طیف فازی'!$B$2,IF('امتیاز دهی خبرگان'!$J87=2,'طیف فازی'!$B$3,IF('امتیاز دهی خبرگان'!$J87=3,'طیف فازی'!$B$4,IF('امتیاز دهی خبرگان'!$J87=4,'طیف فازی'!$B$5,'طیف فازی'!$B$6)))))</f>
        <v>0.5</v>
      </c>
      <c r="Y87" s="18">
        <f>IF('امتیاز دهی خبرگان'!$J87=0,0,IF('امتیاز دهی خبرگان'!$J87=1,'طیف فازی'!$C$2,IF('امتیاز دهی خبرگان'!$J87=2,'طیف فازی'!$C$3,IF('امتیاز دهی خبرگان'!$J87=3,'طیف فازی'!$C$4,IF('امتیاز دهی خبرگان'!$J87=4,'طیف فازی'!$C$5,'طیف فازی'!$C$6)))))</f>
        <v>0.75</v>
      </c>
      <c r="Z87" s="19">
        <f>IF('امتیاز دهی خبرگان'!$J87=0,0,IF('امتیاز دهی خبرگان'!$J87=1,'طیف فازی'!$D$2,IF('امتیاز دهی خبرگان'!$J87=2,'طیف فازی'!$D$3,IF('امتیاز دهی خبرگان'!$J87=3,'طیف فازی'!$D$4,IF('امتیاز دهی خبرگان'!$J87=4,'طیف فازی'!$D$5,'طیف فازی'!$D$6)))))</f>
        <v>1</v>
      </c>
      <c r="AA87" s="17">
        <f>IF('امتیاز دهی خبرگان'!$K87=0,0,IF('امتیاز دهی خبرگان'!$K87=1,'طیف فازی'!$B$2,IF('امتیاز دهی خبرگان'!$K87=2,'طیف فازی'!$B$3,IF('امتیاز دهی خبرگان'!$K87=3,'طیف فازی'!$B$4,IF('امتیاز دهی خبرگان'!$K87=4,'طیف فازی'!$B$5,'طیف فازی'!$B$6)))))</f>
        <v>0.5</v>
      </c>
      <c r="AB87" s="18">
        <f>IF('امتیاز دهی خبرگان'!$K87=0,0,IF('امتیاز دهی خبرگان'!$K87=1,'طیف فازی'!$C$2,IF('امتیاز دهی خبرگان'!$K87=2,'طیف فازی'!$C$3,IF('امتیاز دهی خبرگان'!$K87=3,'طیف فازی'!$C$4,IF('امتیاز دهی خبرگان'!$K87=4,'طیف فازی'!$C$5,'طیف فازی'!$C$6)))))</f>
        <v>0.75</v>
      </c>
      <c r="AC87" s="19">
        <f>IF('امتیاز دهی خبرگان'!$K87=0,0,IF('امتیاز دهی خبرگان'!$K87=1,'طیف فازی'!$D$2,IF('امتیاز دهی خبرگان'!$K87=2,'طیف فازی'!$D$3,IF('امتیاز دهی خبرگان'!$K87=3,'طیف فازی'!$D$4,IF('امتیاز دهی خبرگان'!$K87=4,'طیف فازی'!$D$5,'طیف فازی'!$D$6)))))</f>
        <v>1</v>
      </c>
      <c r="AD87" s="17">
        <f>IF('امتیاز دهی خبرگان'!$L87=0,0,IF('امتیاز دهی خبرگان'!$L87=1,'طیف فازی'!$B$2,IF('امتیاز دهی خبرگان'!$L87=2,'طیف فازی'!$B$3,IF('امتیاز دهی خبرگان'!$L87=3,'طیف فازی'!$B$4,IF('امتیاز دهی خبرگان'!$L87=4,'طیف فازی'!$B$5,'طیف فازی'!$B$6)))))</f>
        <v>0.5</v>
      </c>
      <c r="AE87" s="18">
        <f>IF('امتیاز دهی خبرگان'!$L87=0,0,IF('امتیاز دهی خبرگان'!$L87=1,'طیف فازی'!$C$2,IF('امتیاز دهی خبرگان'!$L87=2,'طیف فازی'!$C$3,IF('امتیاز دهی خبرگان'!$L87=3,'طیف فازی'!$C$4,IF('امتیاز دهی خبرگان'!$L87=4,'طیف فازی'!$C$5,'طیف فازی'!$C$6)))))</f>
        <v>0.75</v>
      </c>
      <c r="AF87" s="19">
        <f>IF('امتیاز دهی خبرگان'!$L87=0,0,IF('امتیاز دهی خبرگان'!$L87=1,'طیف فازی'!$D$2,IF('امتیاز دهی خبرگان'!$L87=2,'طیف فازی'!$D$3,IF('امتیاز دهی خبرگان'!$L87=3,'طیف فازی'!$D$4,IF('امتیاز دهی خبرگان'!$L87=4,'طیف فازی'!$D$5,'طیف فازی'!$D$6)))))</f>
        <v>1</v>
      </c>
      <c r="AG87" s="17">
        <f>IF('امتیاز دهی خبرگان'!$M87=0,0,IF('امتیاز دهی خبرگان'!$M87=1,'طیف فازی'!$B$2,IF('امتیاز دهی خبرگان'!$M87=2,'طیف فازی'!$B$3,IF('امتیاز دهی خبرگان'!$M87=3,'طیف فازی'!$B$4,IF('امتیاز دهی خبرگان'!$M87=4,'طیف فازی'!$B$5,'طیف فازی'!$B$6)))))</f>
        <v>0.5</v>
      </c>
      <c r="AH87" s="18">
        <f>IF('امتیاز دهی خبرگان'!$M87=0,0,IF('امتیاز دهی خبرگان'!$M87=1,'طیف فازی'!$C$2,IF('امتیاز دهی خبرگان'!$M87=2,'طیف فازی'!$C$3,IF('امتیاز دهی خبرگان'!$M87=3,'طیف فازی'!$C$4,IF('امتیاز دهی خبرگان'!$M87=4,'طیف فازی'!$C$5,'طیف فازی'!$C$6)))))</f>
        <v>0.75</v>
      </c>
      <c r="AI87" s="19">
        <f>IF('امتیاز دهی خبرگان'!$M87=0,0,IF('امتیاز دهی خبرگان'!$M87=1,'طیف فازی'!$D$2,IF('امتیاز دهی خبرگان'!$M87=2,'طیف فازی'!$D$3,IF('امتیاز دهی خبرگان'!$M87=3,'طیف فازی'!$D$4,IF('امتیاز دهی خبرگان'!$M87=4,'طیف فازی'!$D$5,'طیف فازی'!$D$6)))))</f>
        <v>1</v>
      </c>
      <c r="AJ87" s="17">
        <f>IF('امتیاز دهی خبرگان'!$N87=0,0,IF('امتیاز دهی خبرگان'!$N87=1,'طیف فازی'!$B$2,IF('امتیاز دهی خبرگان'!$N87=2,'طیف فازی'!$B$3,IF('امتیاز دهی خبرگان'!$N87=3,'طیف فازی'!$B$4,IF('امتیاز دهی خبرگان'!$N87=4,'طیف فازی'!$B$5,'طیف فازی'!$B$6)))))</f>
        <v>0.5</v>
      </c>
      <c r="AK87" s="18">
        <f>IF('امتیاز دهی خبرگان'!$N87=0,0,IF('امتیاز دهی خبرگان'!$N87=1,'طیف فازی'!$C$2,IF('امتیاز دهی خبرگان'!$N87=2,'طیف فازی'!$C$3,IF('امتیاز دهی خبرگان'!$N87=3,'طیف فازی'!$C$4,IF('امتیاز دهی خبرگان'!$N87=4,'طیف فازی'!$C$5,'طیف فازی'!$C$6)))))</f>
        <v>0.75</v>
      </c>
      <c r="AL87" s="19">
        <f>IF('امتیاز دهی خبرگان'!$N87=0,0,IF('امتیاز دهی خبرگان'!$N87=1,'طیف فازی'!$D$2,IF('امتیاز دهی خبرگان'!$N87=2,'طیف فازی'!$D$3,IF('امتیاز دهی خبرگان'!$N87=3,'طیف فازی'!$D$4,IF('امتیاز دهی خبرگان'!$N87=4,'طیف فازی'!$D$5,'طیف فازی'!$D$6)))))</f>
        <v>1</v>
      </c>
      <c r="AM87" s="23">
        <f t="shared" si="9"/>
        <v>6.25</v>
      </c>
      <c r="AN87" s="23">
        <f t="shared" si="10"/>
        <v>9.25</v>
      </c>
      <c r="AO87" s="24">
        <f t="shared" si="11"/>
        <v>11.5</v>
      </c>
      <c r="AP87" s="25">
        <f t="shared" si="12"/>
        <v>0.52083333333333337</v>
      </c>
      <c r="AQ87" s="23">
        <f t="shared" si="13"/>
        <v>0.77083333333333337</v>
      </c>
      <c r="AR87" s="24">
        <f t="shared" si="14"/>
        <v>0.95833333333333337</v>
      </c>
      <c r="AS87" s="24">
        <f t="shared" si="15"/>
        <v>0.75</v>
      </c>
      <c r="AT87" s="24" t="str">
        <f t="shared" si="16"/>
        <v>Pass</v>
      </c>
    </row>
    <row r="88" spans="2:46" ht="23.25" customHeight="1" thickBot="1" x14ac:dyDescent="0.85">
      <c r="B88" s="2">
        <v>84</v>
      </c>
      <c r="C88" s="17">
        <f>IF('امتیاز دهی خبرگان'!$C88=0,0,IF('امتیاز دهی خبرگان'!$C88=1,'طیف فازی'!$B$2,IF('امتیاز دهی خبرگان'!$C88=2,'طیف فازی'!$B$3,IF('امتیاز دهی خبرگان'!$C88=3,'طیف فازی'!$B$4,IF('امتیاز دهی خبرگان'!$C88=4,'طیف فازی'!$B$5,'طیف فازی'!$B$6)))))</f>
        <v>0.75</v>
      </c>
      <c r="D88" s="18">
        <f>IF('امتیاز دهی خبرگان'!$C88=0,0,IF('امتیاز دهی خبرگان'!$C88=1,'طیف فازی'!$C$2,IF('امتیاز دهی خبرگان'!$C88=2,'طیف فازی'!$C$3,IF('امتیاز دهی خبرگان'!$C88=3,'طیف فازی'!$C$4,IF('امتیاز دهی خبرگان'!$C88=4,'طیف فازی'!$C$5,'طیف فازی'!$C$6)))))</f>
        <v>1</v>
      </c>
      <c r="E88" s="19">
        <f>IF('امتیاز دهی خبرگان'!$C88=0,0,IF('امتیاز دهی خبرگان'!$C88=1,'طیف فازی'!$D$2,IF('امتیاز دهی خبرگان'!$C88=2,'طیف فازی'!$D$3,IF('امتیاز دهی خبرگان'!$C88=3,'طیف فازی'!$D$4,IF('امتیاز دهی خبرگان'!$C88=4,'طیف فازی'!$D$5,'طیف فازی'!$D$6)))))</f>
        <v>1</v>
      </c>
      <c r="F88" s="20">
        <f>IF('امتیاز دهی خبرگان'!$D88=0,0,IF('امتیاز دهی خبرگان'!$D88=1,'طیف فازی'!$B$2,IF('امتیاز دهی خبرگان'!$D88=2,'طیف فازی'!$B$3,IF('امتیاز دهی خبرگان'!$D88=3,'طیف فازی'!$B$4,IF('امتیاز دهی خبرگان'!$D88=4,'طیف فازی'!$B$5,'طیف فازی'!$B$6)))))</f>
        <v>0.25</v>
      </c>
      <c r="G88" s="21">
        <f>IF('امتیاز دهی خبرگان'!$D88=0,0,IF('امتیاز دهی خبرگان'!$D88=1,'طیف فازی'!$D$2,IF('امتیاز دهی خبرگان'!$D88=2,'طیف فازی'!$C$3,IF('امتیاز دهی خبرگان'!$D88=3,'طیف فازی'!$C$4,IF('امتیاز دهی خبرگان'!$D88=4,'طیف فازی'!$C$5,'طیف فازی'!$C$6)))))</f>
        <v>0.5</v>
      </c>
      <c r="H88" s="22">
        <f>IF('امتیاز دهی خبرگان'!$D88=0,0,IF('امتیاز دهی خبرگان'!$D88=1,'طیف فازی'!$D$2,IF('امتیاز دهی خبرگان'!$D88=2,'طیف فازی'!$D$3,IF('امتیاز دهی خبرگان'!$D88=3,'طیف فازی'!$D$4,IF('امتیاز دهی خبرگان'!$D88=4,'طیف فازی'!$D$5,'طیف فازی'!$D$6)))))</f>
        <v>0.75</v>
      </c>
      <c r="I88" s="17">
        <f>IF('امتیاز دهی خبرگان'!$E88=0,0,IF('امتیاز دهی خبرگان'!$E88=1,'طیف فازی'!$B$2,IF('امتیاز دهی خبرگان'!$E88=2,'طیف فازی'!$B$3,IF('امتیاز دهی خبرگان'!$E88=3,'طیف فازی'!$B$4,IF('امتیاز دهی خبرگان'!$E88=4,'طیف فازی'!$B$5,'طیف فازی'!$B$6)))))</f>
        <v>0.5</v>
      </c>
      <c r="J88" s="18">
        <f>IF('امتیاز دهی خبرگان'!$E88=0,0,IF('امتیاز دهی خبرگان'!$E88=1,'طیف فازی'!$C$2,IF('امتیاز دهی خبرگان'!$E88=2,'طیف فازی'!$C$3,IF('امتیاز دهی خبرگان'!$E88=3,'طیف فازی'!$C$4,IF('امتیاز دهی خبرگان'!$E88=4,'طیف فازی'!$C$5,'طیف فازی'!$C$6)))))</f>
        <v>0.75</v>
      </c>
      <c r="K88" s="19">
        <f>IF('امتیاز دهی خبرگان'!$E88=0,0,IF('امتیاز دهی خبرگان'!$E88=1,'طیف فازی'!$D$2,IF('امتیاز دهی خبرگان'!$E88=2,'طیف فازی'!$D$3,IF('امتیاز دهی خبرگان'!$E88=3,'طیف فازی'!$D$4,IF('امتیاز دهی خبرگان'!$E88=4,'طیف فازی'!$D$5,'طیف فازی'!$D$6)))))</f>
        <v>1</v>
      </c>
      <c r="L88" s="17">
        <f>IF('امتیاز دهی خبرگان'!$F88=0,0,IF('امتیاز دهی خبرگان'!$F88=1,'طیف فازی'!$B$2,IF('امتیاز دهی خبرگان'!$F88=2,'طیف فازی'!$B$3,IF('امتیاز دهی خبرگان'!$F88=3,'طیف فازی'!$B$4,IF('امتیاز دهی خبرگان'!$F88=4,'طیف فازی'!$B$5,'طیف فازی'!$B$6)))))</f>
        <v>0.5</v>
      </c>
      <c r="M88" s="18">
        <f>IF('امتیاز دهی خبرگان'!$F88=0,0,IF('امتیاز دهی خبرگان'!$F88=1,'طیف فازی'!$C$2,IF('امتیاز دهی خبرگان'!$F88=2,'طیف فازی'!$C$3,IF('امتیاز دهی خبرگان'!$F88=3,'طیف فازی'!$C$4,IF('امتیاز دهی خبرگان'!$F88=4,'طیف فازی'!$C$5,'طیف فازی'!$C$6)))))</f>
        <v>0.75</v>
      </c>
      <c r="N88" s="19">
        <f>IF('امتیاز دهی خبرگان'!$F88=0,0,IF('امتیاز دهی خبرگان'!$F88=1,'طیف فازی'!$D$2,IF('امتیاز دهی خبرگان'!$F88=2,'طیف فازی'!$D$3,IF('امتیاز دهی خبرگان'!$F88=3,'طیف فازی'!$D$4,IF('امتیاز دهی خبرگان'!$F88=4,'طیف فازی'!$D$5,'طیف فازی'!$D$6)))))</f>
        <v>1</v>
      </c>
      <c r="O88" s="17">
        <f>IF('امتیاز دهی خبرگان'!$G88=0,0,IF('امتیاز دهی خبرگان'!$G88=1,'طیف فازی'!$B$2,IF('امتیاز دهی خبرگان'!$G88=2,'طیف فازی'!$B$3,IF('امتیاز دهی خبرگان'!$G88=3,'طیف فازی'!$B$4,IF('امتیاز دهی خبرگان'!$G88=4,'طیف فازی'!$B$5,'طیف فازی'!$B$6)))))</f>
        <v>0.75</v>
      </c>
      <c r="P88" s="18">
        <f>IF('امتیاز دهی خبرگان'!$G88=0,0,IF('امتیاز دهی خبرگان'!$G88=1,'طیف فازی'!$C$2,IF('امتیاز دهی خبرگان'!$G88=2,'طیف فازی'!$C$3,IF('امتیاز دهی خبرگان'!$G88=3,'طیف فازی'!$C$4,IF('امتیاز دهی خبرگان'!$G88=4,'طیف فازی'!$C$5,'طیف فازی'!$C$6)))))</f>
        <v>1</v>
      </c>
      <c r="Q88" s="19">
        <f>IF('امتیاز دهی خبرگان'!$G88=0,0,IF('امتیاز دهی خبرگان'!$G88=1,'طیف فازی'!$D$2,IF('امتیاز دهی خبرگان'!$G88=2,'طیف فازی'!$D$3,IF('امتیاز دهی خبرگان'!$G88=3,'طیف فازی'!$D$4,IF('امتیاز دهی خبرگان'!$G88=4,'طیف فازی'!$D$5,'طیف فازی'!$D$6)))))</f>
        <v>1</v>
      </c>
      <c r="R88" s="17">
        <f>IF('امتیاز دهی خبرگان'!$H88=0,0,IF('امتیاز دهی خبرگان'!$H88=1,'طیف فازی'!$B$2,IF('امتیاز دهی خبرگان'!$H88=2,'طیف فازی'!$B$3,IF('امتیاز دهی خبرگان'!$H88=3,'طیف فازی'!$B$4,IF('امتیاز دهی خبرگان'!$H88=4,'طیف فازی'!$B$5,'طیف فازی'!$B$6)))))</f>
        <v>0.5</v>
      </c>
      <c r="S88" s="18">
        <f>IF('امتیاز دهی خبرگان'!$H88=0,0,IF('امتیاز دهی خبرگان'!$H88=1,'طیف فازی'!$C$2,IF('امتیاز دهی خبرگان'!$H88=2,'طیف فازی'!$C$3,IF('امتیاز دهی خبرگان'!$H88=3,'طیف فازی'!$C$4,IF('امتیاز دهی خبرگان'!$H88=4,'طیف فازی'!$C$5,'طیف فازی'!$C$6)))))</f>
        <v>0.75</v>
      </c>
      <c r="T88" s="19">
        <f>IF('امتیاز دهی خبرگان'!$H88=0,0,IF('امتیاز دهی خبرگان'!$H88=1,'طیف فازی'!$D$2,IF('امتیاز دهی خبرگان'!$H88=2,'طیف فازی'!$D$3,IF('امتیاز دهی خبرگان'!$H88=3,'طیف فازی'!$D$4,IF('امتیاز دهی خبرگان'!$H88=4,'طیف فازی'!$D$5,'طیف فازی'!$D$6)))))</f>
        <v>1</v>
      </c>
      <c r="U88" s="17">
        <f>IF('امتیاز دهی خبرگان'!$I88=0,0,IF('امتیاز دهی خبرگان'!$I88=1,'طیف فازی'!$B$2,IF('امتیاز دهی خبرگان'!$I88=2,'طیف فازی'!$B$3,IF('امتیاز دهی خبرگان'!$I88=3,'طیف فازی'!$B$4,IF('امتیاز دهی خبرگان'!$I88=4,'طیف فازی'!$B$5,'طیف فازی'!$B$6)))))</f>
        <v>0.75</v>
      </c>
      <c r="V88" s="18">
        <f>IF('امتیاز دهی خبرگان'!$I88=0,0,IF('امتیاز دهی خبرگان'!$I88=1,'طیف فازی'!$C$2,IF('امتیاز دهی خبرگان'!$I88=2,'طیف فازی'!$C$3,IF('امتیاز دهی خبرگان'!$I88=3,'طیف فازی'!$C$4,IF('امتیاز دهی خبرگان'!$I88=4,'طیف فازی'!$C$5,'طیف فازی'!$C$6)))))</f>
        <v>1</v>
      </c>
      <c r="W88" s="19">
        <f>IF('امتیاز دهی خبرگان'!$I88=0,0,IF('امتیاز دهی خبرگان'!$I88=1,'طیف فازی'!$D$2,IF('امتیاز دهی خبرگان'!$I88=2,'طیف فازی'!$D$3,IF('امتیاز دهی خبرگان'!$I88=3,'طیف فازی'!$D$4,IF('امتیاز دهی خبرگان'!$I88=4,'طیف فازی'!$D$5,'طیف فازی'!$D$6)))))</f>
        <v>1</v>
      </c>
      <c r="X88" s="17">
        <f>IF('امتیاز دهی خبرگان'!$J88=0,0,IF('امتیاز دهی خبرگان'!$J88=1,'طیف فازی'!$B$2,IF('امتیاز دهی خبرگان'!$J88=2,'طیف فازی'!$B$3,IF('امتیاز دهی خبرگان'!$J88=3,'طیف فازی'!$B$4,IF('امتیاز دهی خبرگان'!$J88=4,'طیف فازی'!$B$5,'طیف فازی'!$B$6)))))</f>
        <v>0.75</v>
      </c>
      <c r="Y88" s="18">
        <f>IF('امتیاز دهی خبرگان'!$J88=0,0,IF('امتیاز دهی خبرگان'!$J88=1,'طیف فازی'!$C$2,IF('امتیاز دهی خبرگان'!$J88=2,'طیف فازی'!$C$3,IF('امتیاز دهی خبرگان'!$J88=3,'طیف فازی'!$C$4,IF('امتیاز دهی خبرگان'!$J88=4,'طیف فازی'!$C$5,'طیف فازی'!$C$6)))))</f>
        <v>1</v>
      </c>
      <c r="Z88" s="19">
        <f>IF('امتیاز دهی خبرگان'!$J88=0,0,IF('امتیاز دهی خبرگان'!$J88=1,'طیف فازی'!$D$2,IF('امتیاز دهی خبرگان'!$J88=2,'طیف فازی'!$D$3,IF('امتیاز دهی خبرگان'!$J88=3,'طیف فازی'!$D$4,IF('امتیاز دهی خبرگان'!$J88=4,'طیف فازی'!$D$5,'طیف فازی'!$D$6)))))</f>
        <v>1</v>
      </c>
      <c r="AA88" s="17">
        <f>IF('امتیاز دهی خبرگان'!$K88=0,0,IF('امتیاز دهی خبرگان'!$K88=1,'طیف فازی'!$B$2,IF('امتیاز دهی خبرگان'!$K88=2,'طیف فازی'!$B$3,IF('امتیاز دهی خبرگان'!$K88=3,'طیف فازی'!$B$4,IF('امتیاز دهی خبرگان'!$K88=4,'طیف فازی'!$B$5,'طیف فازی'!$B$6)))))</f>
        <v>0.5</v>
      </c>
      <c r="AB88" s="18">
        <f>IF('امتیاز دهی خبرگان'!$K88=0,0,IF('امتیاز دهی خبرگان'!$K88=1,'طیف فازی'!$C$2,IF('امتیاز دهی خبرگان'!$K88=2,'طیف فازی'!$C$3,IF('امتیاز دهی خبرگان'!$K88=3,'طیف فازی'!$C$4,IF('امتیاز دهی خبرگان'!$K88=4,'طیف فازی'!$C$5,'طیف فازی'!$C$6)))))</f>
        <v>0.75</v>
      </c>
      <c r="AC88" s="19">
        <f>IF('امتیاز دهی خبرگان'!$K88=0,0,IF('امتیاز دهی خبرگان'!$K88=1,'طیف فازی'!$D$2,IF('امتیاز دهی خبرگان'!$K88=2,'طیف فازی'!$D$3,IF('امتیاز دهی خبرگان'!$K88=3,'طیف فازی'!$D$4,IF('امتیاز دهی خبرگان'!$K88=4,'طیف فازی'!$D$5,'طیف فازی'!$D$6)))))</f>
        <v>1</v>
      </c>
      <c r="AD88" s="17">
        <f>IF('امتیاز دهی خبرگان'!$L88=0,0,IF('امتیاز دهی خبرگان'!$L88=1,'طیف فازی'!$B$2,IF('امتیاز دهی خبرگان'!$L88=2,'طیف فازی'!$B$3,IF('امتیاز دهی خبرگان'!$L88=3,'طیف فازی'!$B$4,IF('امتیاز دهی خبرگان'!$L88=4,'طیف فازی'!$B$5,'طیف فازی'!$B$6)))))</f>
        <v>0.5</v>
      </c>
      <c r="AE88" s="18">
        <f>IF('امتیاز دهی خبرگان'!$L88=0,0,IF('امتیاز دهی خبرگان'!$L88=1,'طیف فازی'!$C$2,IF('امتیاز دهی خبرگان'!$L88=2,'طیف فازی'!$C$3,IF('امتیاز دهی خبرگان'!$L88=3,'طیف فازی'!$C$4,IF('امتیاز دهی خبرگان'!$L88=4,'طیف فازی'!$C$5,'طیف فازی'!$C$6)))))</f>
        <v>0.75</v>
      </c>
      <c r="AF88" s="19">
        <f>IF('امتیاز دهی خبرگان'!$L88=0,0,IF('امتیاز دهی خبرگان'!$L88=1,'طیف فازی'!$D$2,IF('امتیاز دهی خبرگان'!$L88=2,'طیف فازی'!$D$3,IF('امتیاز دهی خبرگان'!$L88=3,'طیف فازی'!$D$4,IF('امتیاز دهی خبرگان'!$L88=4,'طیف فازی'!$D$5,'طیف فازی'!$D$6)))))</f>
        <v>1</v>
      </c>
      <c r="AG88" s="17">
        <f>IF('امتیاز دهی خبرگان'!$M88=0,0,IF('امتیاز دهی خبرگان'!$M88=1,'طیف فازی'!$B$2,IF('امتیاز دهی خبرگان'!$M88=2,'طیف فازی'!$B$3,IF('امتیاز دهی خبرگان'!$M88=3,'طیف فازی'!$B$4,IF('امتیاز دهی خبرگان'!$M88=4,'طیف فازی'!$B$5,'طیف فازی'!$B$6)))))</f>
        <v>0.25</v>
      </c>
      <c r="AH88" s="18">
        <f>IF('امتیاز دهی خبرگان'!$M88=0,0,IF('امتیاز دهی خبرگان'!$M88=1,'طیف فازی'!$C$2,IF('امتیاز دهی خبرگان'!$M88=2,'طیف فازی'!$C$3,IF('امتیاز دهی خبرگان'!$M88=3,'طیف فازی'!$C$4,IF('امتیاز دهی خبرگان'!$M88=4,'طیف فازی'!$C$5,'طیف فازی'!$C$6)))))</f>
        <v>0.5</v>
      </c>
      <c r="AI88" s="19">
        <f>IF('امتیاز دهی خبرگان'!$M88=0,0,IF('امتیاز دهی خبرگان'!$M88=1,'طیف فازی'!$D$2,IF('امتیاز دهی خبرگان'!$M88=2,'طیف فازی'!$D$3,IF('امتیاز دهی خبرگان'!$M88=3,'طیف فازی'!$D$4,IF('امتیاز دهی خبرگان'!$M88=4,'طیف فازی'!$D$5,'طیف فازی'!$D$6)))))</f>
        <v>0.75</v>
      </c>
      <c r="AJ88" s="17">
        <f>IF('امتیاز دهی خبرگان'!$N88=0,0,IF('امتیاز دهی خبرگان'!$N88=1,'طیف فازی'!$B$2,IF('امتیاز دهی خبرگان'!$N88=2,'طیف فازی'!$B$3,IF('امتیاز دهی خبرگان'!$N88=3,'طیف فازی'!$B$4,IF('امتیاز دهی خبرگان'!$N88=4,'طیف فازی'!$B$5,'طیف فازی'!$B$6)))))</f>
        <v>0.75</v>
      </c>
      <c r="AK88" s="18">
        <f>IF('امتیاز دهی خبرگان'!$N88=0,0,IF('امتیاز دهی خبرگان'!$N88=1,'طیف فازی'!$C$2,IF('امتیاز دهی خبرگان'!$N88=2,'طیف فازی'!$C$3,IF('امتیاز دهی خبرگان'!$N88=3,'طیف فازی'!$C$4,IF('امتیاز دهی خبرگان'!$N88=4,'طیف فازی'!$C$5,'طیف فازی'!$C$6)))))</f>
        <v>1</v>
      </c>
      <c r="AL88" s="19">
        <f>IF('امتیاز دهی خبرگان'!$N88=0,0,IF('امتیاز دهی خبرگان'!$N88=1,'طیف فازی'!$D$2,IF('امتیاز دهی خبرگان'!$N88=2,'طیف فازی'!$D$3,IF('امتیاز دهی خبرگان'!$N88=3,'طیف فازی'!$D$4,IF('امتیاز دهی خبرگان'!$N88=4,'طیف فازی'!$D$5,'طیف فازی'!$D$6)))))</f>
        <v>1</v>
      </c>
      <c r="AM88" s="23">
        <f t="shared" si="9"/>
        <v>6.75</v>
      </c>
      <c r="AN88" s="23">
        <f t="shared" si="10"/>
        <v>9.75</v>
      </c>
      <c r="AO88" s="24">
        <f t="shared" si="11"/>
        <v>11.5</v>
      </c>
      <c r="AP88" s="25">
        <f t="shared" si="12"/>
        <v>0.5625</v>
      </c>
      <c r="AQ88" s="23">
        <f t="shared" si="13"/>
        <v>0.8125</v>
      </c>
      <c r="AR88" s="24">
        <f t="shared" si="14"/>
        <v>0.95833333333333337</v>
      </c>
      <c r="AS88" s="24">
        <f t="shared" si="15"/>
        <v>0.77777777777777779</v>
      </c>
      <c r="AT88" s="24" t="str">
        <f t="shared" si="16"/>
        <v>Pass</v>
      </c>
    </row>
    <row r="89" spans="2:46" ht="23.25" customHeight="1" thickBot="1" x14ac:dyDescent="0.85">
      <c r="B89" s="2">
        <v>85</v>
      </c>
      <c r="C89" s="17">
        <f>IF('امتیاز دهی خبرگان'!$C89=0,0,IF('امتیاز دهی خبرگان'!$C89=1,'طیف فازی'!$B$2,IF('امتیاز دهی خبرگان'!$C89=2,'طیف فازی'!$B$3,IF('امتیاز دهی خبرگان'!$C89=3,'طیف فازی'!$B$4,IF('امتیاز دهی خبرگان'!$C89=4,'طیف فازی'!$B$5,'طیف فازی'!$B$6)))))</f>
        <v>0.75</v>
      </c>
      <c r="D89" s="18">
        <f>IF('امتیاز دهی خبرگان'!$C89=0,0,IF('امتیاز دهی خبرگان'!$C89=1,'طیف فازی'!$C$2,IF('امتیاز دهی خبرگان'!$C89=2,'طیف فازی'!$C$3,IF('امتیاز دهی خبرگان'!$C89=3,'طیف فازی'!$C$4,IF('امتیاز دهی خبرگان'!$C89=4,'طیف فازی'!$C$5,'طیف فازی'!$C$6)))))</f>
        <v>1</v>
      </c>
      <c r="E89" s="19">
        <f>IF('امتیاز دهی خبرگان'!$C89=0,0,IF('امتیاز دهی خبرگان'!$C89=1,'طیف فازی'!$D$2,IF('امتیاز دهی خبرگان'!$C89=2,'طیف فازی'!$D$3,IF('امتیاز دهی خبرگان'!$C89=3,'طیف فازی'!$D$4,IF('امتیاز دهی خبرگان'!$C89=4,'طیف فازی'!$D$5,'طیف فازی'!$D$6)))))</f>
        <v>1</v>
      </c>
      <c r="F89" s="20">
        <f>IF('امتیاز دهی خبرگان'!$D89=0,0,IF('امتیاز دهی خبرگان'!$D89=1,'طیف فازی'!$B$2,IF('امتیاز دهی خبرگان'!$D89=2,'طیف فازی'!$B$3,IF('امتیاز دهی خبرگان'!$D89=3,'طیف فازی'!$B$4,IF('امتیاز دهی خبرگان'!$D89=4,'طیف فازی'!$B$5,'طیف فازی'!$B$6)))))</f>
        <v>0</v>
      </c>
      <c r="G89" s="21">
        <f>IF('امتیاز دهی خبرگان'!$D89=0,0,IF('امتیاز دهی خبرگان'!$D89=1,'طیف فازی'!$D$2,IF('امتیاز دهی خبرگان'!$D89=2,'طیف فازی'!$C$3,IF('امتیاز دهی خبرگان'!$D89=3,'طیف فازی'!$C$4,IF('امتیاز دهی خبرگان'!$D89=4,'طیف فازی'!$C$5,'طیف فازی'!$C$6)))))</f>
        <v>0.25</v>
      </c>
      <c r="H89" s="22">
        <f>IF('امتیاز دهی خبرگان'!$D89=0,0,IF('امتیاز دهی خبرگان'!$D89=1,'طیف فازی'!$D$2,IF('امتیاز دهی خبرگان'!$D89=2,'طیف فازی'!$D$3,IF('امتیاز دهی خبرگان'!$D89=3,'طیف فازی'!$D$4,IF('امتیاز دهی خبرگان'!$D89=4,'طیف فازی'!$D$5,'طیف فازی'!$D$6)))))</f>
        <v>0.5</v>
      </c>
      <c r="I89" s="17">
        <f>IF('امتیاز دهی خبرگان'!$E89=0,0,IF('امتیاز دهی خبرگان'!$E89=1,'طیف فازی'!$B$2,IF('امتیاز دهی خبرگان'!$E89=2,'طیف فازی'!$B$3,IF('امتیاز دهی خبرگان'!$E89=3,'طیف فازی'!$B$4,IF('امتیاز دهی خبرگان'!$E89=4,'طیف فازی'!$B$5,'طیف فازی'!$B$6)))))</f>
        <v>0.75</v>
      </c>
      <c r="J89" s="18">
        <f>IF('امتیاز دهی خبرگان'!$E89=0,0,IF('امتیاز دهی خبرگان'!$E89=1,'طیف فازی'!$C$2,IF('امتیاز دهی خبرگان'!$E89=2,'طیف فازی'!$C$3,IF('امتیاز دهی خبرگان'!$E89=3,'طیف فازی'!$C$4,IF('امتیاز دهی خبرگان'!$E89=4,'طیف فازی'!$C$5,'طیف فازی'!$C$6)))))</f>
        <v>1</v>
      </c>
      <c r="K89" s="19">
        <f>IF('امتیاز دهی خبرگان'!$E89=0,0,IF('امتیاز دهی خبرگان'!$E89=1,'طیف فازی'!$D$2,IF('امتیاز دهی خبرگان'!$E89=2,'طیف فازی'!$D$3,IF('امتیاز دهی خبرگان'!$E89=3,'طیف فازی'!$D$4,IF('امتیاز دهی خبرگان'!$E89=4,'طیف فازی'!$D$5,'طیف فازی'!$D$6)))))</f>
        <v>1</v>
      </c>
      <c r="L89" s="17">
        <f>IF('امتیاز دهی خبرگان'!$F89=0,0,IF('امتیاز دهی خبرگان'!$F89=1,'طیف فازی'!$B$2,IF('امتیاز دهی خبرگان'!$F89=2,'طیف فازی'!$B$3,IF('امتیاز دهی خبرگان'!$F89=3,'طیف فازی'!$B$4,IF('امتیاز دهی خبرگان'!$F89=4,'طیف فازی'!$B$5,'طیف فازی'!$B$6)))))</f>
        <v>0.5</v>
      </c>
      <c r="M89" s="18">
        <f>IF('امتیاز دهی خبرگان'!$F89=0,0,IF('امتیاز دهی خبرگان'!$F89=1,'طیف فازی'!$C$2,IF('امتیاز دهی خبرگان'!$F89=2,'طیف فازی'!$C$3,IF('امتیاز دهی خبرگان'!$F89=3,'طیف فازی'!$C$4,IF('امتیاز دهی خبرگان'!$F89=4,'طیف فازی'!$C$5,'طیف فازی'!$C$6)))))</f>
        <v>0.75</v>
      </c>
      <c r="N89" s="19">
        <f>IF('امتیاز دهی خبرگان'!$F89=0,0,IF('امتیاز دهی خبرگان'!$F89=1,'طیف فازی'!$D$2,IF('امتیاز دهی خبرگان'!$F89=2,'طیف فازی'!$D$3,IF('امتیاز دهی خبرگان'!$F89=3,'طیف فازی'!$D$4,IF('امتیاز دهی خبرگان'!$F89=4,'طیف فازی'!$D$5,'طیف فازی'!$D$6)))))</f>
        <v>1</v>
      </c>
      <c r="O89" s="17">
        <f>IF('امتیاز دهی خبرگان'!$G89=0,0,IF('امتیاز دهی خبرگان'!$G89=1,'طیف فازی'!$B$2,IF('امتیاز دهی خبرگان'!$G89=2,'طیف فازی'!$B$3,IF('امتیاز دهی خبرگان'!$G89=3,'طیف فازی'!$B$4,IF('امتیاز دهی خبرگان'!$G89=4,'طیف فازی'!$B$5,'طیف فازی'!$B$6)))))</f>
        <v>0.75</v>
      </c>
      <c r="P89" s="18">
        <f>IF('امتیاز دهی خبرگان'!$G89=0,0,IF('امتیاز دهی خبرگان'!$G89=1,'طیف فازی'!$C$2,IF('امتیاز دهی خبرگان'!$G89=2,'طیف فازی'!$C$3,IF('امتیاز دهی خبرگان'!$G89=3,'طیف فازی'!$C$4,IF('امتیاز دهی خبرگان'!$G89=4,'طیف فازی'!$C$5,'طیف فازی'!$C$6)))))</f>
        <v>1</v>
      </c>
      <c r="Q89" s="19">
        <f>IF('امتیاز دهی خبرگان'!$G89=0,0,IF('امتیاز دهی خبرگان'!$G89=1,'طیف فازی'!$D$2,IF('امتیاز دهی خبرگان'!$G89=2,'طیف فازی'!$D$3,IF('امتیاز دهی خبرگان'!$G89=3,'طیف فازی'!$D$4,IF('امتیاز دهی خبرگان'!$G89=4,'طیف فازی'!$D$5,'طیف فازی'!$D$6)))))</f>
        <v>1</v>
      </c>
      <c r="R89" s="17">
        <f>IF('امتیاز دهی خبرگان'!$H89=0,0,IF('امتیاز دهی خبرگان'!$H89=1,'طیف فازی'!$B$2,IF('امتیاز دهی خبرگان'!$H89=2,'طیف فازی'!$B$3,IF('امتیاز دهی خبرگان'!$H89=3,'طیف فازی'!$B$4,IF('امتیاز دهی خبرگان'!$H89=4,'طیف فازی'!$B$5,'طیف فازی'!$B$6)))))</f>
        <v>0</v>
      </c>
      <c r="S89" s="18">
        <f>IF('امتیاز دهی خبرگان'!$H89=0,0,IF('امتیاز دهی خبرگان'!$H89=1,'طیف فازی'!$C$2,IF('امتیاز دهی خبرگان'!$H89=2,'طیف فازی'!$C$3,IF('امتیاز دهی خبرگان'!$H89=3,'طیف فازی'!$C$4,IF('امتیاز دهی خبرگان'!$H89=4,'طیف فازی'!$C$5,'طیف فازی'!$C$6)))))</f>
        <v>0.25</v>
      </c>
      <c r="T89" s="19">
        <f>IF('امتیاز دهی خبرگان'!$H89=0,0,IF('امتیاز دهی خبرگان'!$H89=1,'طیف فازی'!$D$2,IF('امتیاز دهی خبرگان'!$H89=2,'طیف فازی'!$D$3,IF('امتیاز دهی خبرگان'!$H89=3,'طیف فازی'!$D$4,IF('امتیاز دهی خبرگان'!$H89=4,'طیف فازی'!$D$5,'طیف فازی'!$D$6)))))</f>
        <v>0.5</v>
      </c>
      <c r="U89" s="17">
        <f>IF('امتیاز دهی خبرگان'!$I89=0,0,IF('امتیاز دهی خبرگان'!$I89=1,'طیف فازی'!$B$2,IF('امتیاز دهی خبرگان'!$I89=2,'طیف فازی'!$B$3,IF('امتیاز دهی خبرگان'!$I89=3,'طیف فازی'!$B$4,IF('امتیاز دهی خبرگان'!$I89=4,'طیف فازی'!$B$5,'طیف فازی'!$B$6)))))</f>
        <v>0.5</v>
      </c>
      <c r="V89" s="18">
        <f>IF('امتیاز دهی خبرگان'!$I89=0,0,IF('امتیاز دهی خبرگان'!$I89=1,'طیف فازی'!$C$2,IF('امتیاز دهی خبرگان'!$I89=2,'طیف فازی'!$C$3,IF('امتیاز دهی خبرگان'!$I89=3,'طیف فازی'!$C$4,IF('امتیاز دهی خبرگان'!$I89=4,'طیف فازی'!$C$5,'طیف فازی'!$C$6)))))</f>
        <v>0.75</v>
      </c>
      <c r="W89" s="19">
        <f>IF('امتیاز دهی خبرگان'!$I89=0,0,IF('امتیاز دهی خبرگان'!$I89=1,'طیف فازی'!$D$2,IF('امتیاز دهی خبرگان'!$I89=2,'طیف فازی'!$D$3,IF('امتیاز دهی خبرگان'!$I89=3,'طیف فازی'!$D$4,IF('امتیاز دهی خبرگان'!$I89=4,'طیف فازی'!$D$5,'طیف فازی'!$D$6)))))</f>
        <v>1</v>
      </c>
      <c r="X89" s="17">
        <f>IF('امتیاز دهی خبرگان'!$J89=0,0,IF('امتیاز دهی خبرگان'!$J89=1,'طیف فازی'!$B$2,IF('امتیاز دهی خبرگان'!$J89=2,'طیف فازی'!$B$3,IF('امتیاز دهی خبرگان'!$J89=3,'طیف فازی'!$B$4,IF('امتیاز دهی خبرگان'!$J89=4,'طیف فازی'!$B$5,'طیف فازی'!$B$6)))))</f>
        <v>0.75</v>
      </c>
      <c r="Y89" s="18">
        <f>IF('امتیاز دهی خبرگان'!$J89=0,0,IF('امتیاز دهی خبرگان'!$J89=1,'طیف فازی'!$C$2,IF('امتیاز دهی خبرگان'!$J89=2,'طیف فازی'!$C$3,IF('امتیاز دهی خبرگان'!$J89=3,'طیف فازی'!$C$4,IF('امتیاز دهی خبرگان'!$J89=4,'طیف فازی'!$C$5,'طیف فازی'!$C$6)))))</f>
        <v>1</v>
      </c>
      <c r="Z89" s="19">
        <f>IF('امتیاز دهی خبرگان'!$J89=0,0,IF('امتیاز دهی خبرگان'!$J89=1,'طیف فازی'!$D$2,IF('امتیاز دهی خبرگان'!$J89=2,'طیف فازی'!$D$3,IF('امتیاز دهی خبرگان'!$J89=3,'طیف فازی'!$D$4,IF('امتیاز دهی خبرگان'!$J89=4,'طیف فازی'!$D$5,'طیف فازی'!$D$6)))))</f>
        <v>1</v>
      </c>
      <c r="AA89" s="17">
        <f>IF('امتیاز دهی خبرگان'!$K89=0,0,IF('امتیاز دهی خبرگان'!$K89=1,'طیف فازی'!$B$2,IF('امتیاز دهی خبرگان'!$K89=2,'طیف فازی'!$B$3,IF('امتیاز دهی خبرگان'!$K89=3,'طیف فازی'!$B$4,IF('امتیاز دهی خبرگان'!$K89=4,'طیف فازی'!$B$5,'طیف فازی'!$B$6)))))</f>
        <v>0.5</v>
      </c>
      <c r="AB89" s="18">
        <f>IF('امتیاز دهی خبرگان'!$K89=0,0,IF('امتیاز دهی خبرگان'!$K89=1,'طیف فازی'!$C$2,IF('امتیاز دهی خبرگان'!$K89=2,'طیف فازی'!$C$3,IF('امتیاز دهی خبرگان'!$K89=3,'طیف فازی'!$C$4,IF('امتیاز دهی خبرگان'!$K89=4,'طیف فازی'!$C$5,'طیف فازی'!$C$6)))))</f>
        <v>0.75</v>
      </c>
      <c r="AC89" s="19">
        <f>IF('امتیاز دهی خبرگان'!$K89=0,0,IF('امتیاز دهی خبرگان'!$K89=1,'طیف فازی'!$D$2,IF('امتیاز دهی خبرگان'!$K89=2,'طیف فازی'!$D$3,IF('امتیاز دهی خبرگان'!$K89=3,'طیف فازی'!$D$4,IF('امتیاز دهی خبرگان'!$K89=4,'طیف فازی'!$D$5,'طیف فازی'!$D$6)))))</f>
        <v>1</v>
      </c>
      <c r="AD89" s="17">
        <f>IF('امتیاز دهی خبرگان'!$L89=0,0,IF('امتیاز دهی خبرگان'!$L89=1,'طیف فازی'!$B$2,IF('امتیاز دهی خبرگان'!$L89=2,'طیف فازی'!$B$3,IF('امتیاز دهی خبرگان'!$L89=3,'طیف فازی'!$B$4,IF('امتیاز دهی خبرگان'!$L89=4,'طیف فازی'!$B$5,'طیف فازی'!$B$6)))))</f>
        <v>0.75</v>
      </c>
      <c r="AE89" s="18">
        <f>IF('امتیاز دهی خبرگان'!$L89=0,0,IF('امتیاز دهی خبرگان'!$L89=1,'طیف فازی'!$C$2,IF('امتیاز دهی خبرگان'!$L89=2,'طیف فازی'!$C$3,IF('امتیاز دهی خبرگان'!$L89=3,'طیف فازی'!$C$4,IF('امتیاز دهی خبرگان'!$L89=4,'طیف فازی'!$C$5,'طیف فازی'!$C$6)))))</f>
        <v>1</v>
      </c>
      <c r="AF89" s="19">
        <f>IF('امتیاز دهی خبرگان'!$L89=0,0,IF('امتیاز دهی خبرگان'!$L89=1,'طیف فازی'!$D$2,IF('امتیاز دهی خبرگان'!$L89=2,'طیف فازی'!$D$3,IF('امتیاز دهی خبرگان'!$L89=3,'طیف فازی'!$D$4,IF('امتیاز دهی خبرگان'!$L89=4,'طیف فازی'!$D$5,'طیف فازی'!$D$6)))))</f>
        <v>1</v>
      </c>
      <c r="AG89" s="17">
        <f>IF('امتیاز دهی خبرگان'!$M89=0,0,IF('امتیاز دهی خبرگان'!$M89=1,'طیف فازی'!$B$2,IF('امتیاز دهی خبرگان'!$M89=2,'طیف فازی'!$B$3,IF('امتیاز دهی خبرگان'!$M89=3,'طیف فازی'!$B$4,IF('امتیاز دهی خبرگان'!$M89=4,'طیف فازی'!$B$5,'طیف فازی'!$B$6)))))</f>
        <v>0.75</v>
      </c>
      <c r="AH89" s="18">
        <f>IF('امتیاز دهی خبرگان'!$M89=0,0,IF('امتیاز دهی خبرگان'!$M89=1,'طیف فازی'!$C$2,IF('امتیاز دهی خبرگان'!$M89=2,'طیف فازی'!$C$3,IF('امتیاز دهی خبرگان'!$M89=3,'طیف فازی'!$C$4,IF('امتیاز دهی خبرگان'!$M89=4,'طیف فازی'!$C$5,'طیف فازی'!$C$6)))))</f>
        <v>1</v>
      </c>
      <c r="AI89" s="19">
        <f>IF('امتیاز دهی خبرگان'!$M89=0,0,IF('امتیاز دهی خبرگان'!$M89=1,'طیف فازی'!$D$2,IF('امتیاز دهی خبرگان'!$M89=2,'طیف فازی'!$D$3,IF('امتیاز دهی خبرگان'!$M89=3,'طیف فازی'!$D$4,IF('امتیاز دهی خبرگان'!$M89=4,'طیف فازی'!$D$5,'طیف فازی'!$D$6)))))</f>
        <v>1</v>
      </c>
      <c r="AJ89" s="17">
        <f>IF('امتیاز دهی خبرگان'!$N89=0,0,IF('امتیاز دهی خبرگان'!$N89=1,'طیف فازی'!$B$2,IF('امتیاز دهی خبرگان'!$N89=2,'طیف فازی'!$B$3,IF('امتیاز دهی خبرگان'!$N89=3,'طیف فازی'!$B$4,IF('امتیاز دهی خبرگان'!$N89=4,'طیف فازی'!$B$5,'طیف فازی'!$B$6)))))</f>
        <v>0.5</v>
      </c>
      <c r="AK89" s="18">
        <f>IF('امتیاز دهی خبرگان'!$N89=0,0,IF('امتیاز دهی خبرگان'!$N89=1,'طیف فازی'!$C$2,IF('امتیاز دهی خبرگان'!$N89=2,'طیف فازی'!$C$3,IF('امتیاز دهی خبرگان'!$N89=3,'طیف فازی'!$C$4,IF('امتیاز دهی خبرگان'!$N89=4,'طیف فازی'!$C$5,'طیف فازی'!$C$6)))))</f>
        <v>0.75</v>
      </c>
      <c r="AL89" s="19">
        <f>IF('امتیاز دهی خبرگان'!$N89=0,0,IF('امتیاز دهی خبرگان'!$N89=1,'طیف فازی'!$D$2,IF('امتیاز دهی خبرگان'!$N89=2,'طیف فازی'!$D$3,IF('امتیاز دهی خبرگان'!$N89=3,'طیف فازی'!$D$4,IF('امتیاز دهی خبرگان'!$N89=4,'طیف فازی'!$D$5,'طیف فازی'!$D$6)))))</f>
        <v>1</v>
      </c>
      <c r="AM89" s="23">
        <f t="shared" si="9"/>
        <v>6.5</v>
      </c>
      <c r="AN89" s="23">
        <f t="shared" si="10"/>
        <v>9.5</v>
      </c>
      <c r="AO89" s="24">
        <f t="shared" si="11"/>
        <v>11</v>
      </c>
      <c r="AP89" s="25">
        <f t="shared" si="12"/>
        <v>0.54166666666666663</v>
      </c>
      <c r="AQ89" s="23">
        <f t="shared" si="13"/>
        <v>0.79166666666666663</v>
      </c>
      <c r="AR89" s="24">
        <f t="shared" si="14"/>
        <v>0.91666666666666663</v>
      </c>
      <c r="AS89" s="24">
        <f t="shared" si="15"/>
        <v>0.75</v>
      </c>
      <c r="AT89" s="24" t="str">
        <f t="shared" si="16"/>
        <v>Pass</v>
      </c>
    </row>
    <row r="90" spans="2:46" ht="23.25" customHeight="1" thickBot="1" x14ac:dyDescent="0.85">
      <c r="B90" s="2">
        <v>86</v>
      </c>
      <c r="C90" s="17">
        <f>IF('امتیاز دهی خبرگان'!$C90=0,0,IF('امتیاز دهی خبرگان'!$C90=1,'طیف فازی'!$B$2,IF('امتیاز دهی خبرگان'!$C90=2,'طیف فازی'!$B$3,IF('امتیاز دهی خبرگان'!$C90=3,'طیف فازی'!$B$4,IF('امتیاز دهی خبرگان'!$C90=4,'طیف فازی'!$B$5,'طیف فازی'!$B$6)))))</f>
        <v>0.75</v>
      </c>
      <c r="D90" s="18">
        <f>IF('امتیاز دهی خبرگان'!$C90=0,0,IF('امتیاز دهی خبرگان'!$C90=1,'طیف فازی'!$C$2,IF('امتیاز دهی خبرگان'!$C90=2,'طیف فازی'!$C$3,IF('امتیاز دهی خبرگان'!$C90=3,'طیف فازی'!$C$4,IF('امتیاز دهی خبرگان'!$C90=4,'طیف فازی'!$C$5,'طیف فازی'!$C$6)))))</f>
        <v>1</v>
      </c>
      <c r="E90" s="19">
        <f>IF('امتیاز دهی خبرگان'!$C90=0,0,IF('امتیاز دهی خبرگان'!$C90=1,'طیف فازی'!$D$2,IF('امتیاز دهی خبرگان'!$C90=2,'طیف فازی'!$D$3,IF('امتیاز دهی خبرگان'!$C90=3,'طیف فازی'!$D$4,IF('امتیاز دهی خبرگان'!$C90=4,'طیف فازی'!$D$5,'طیف فازی'!$D$6)))))</f>
        <v>1</v>
      </c>
      <c r="F90" s="20">
        <f>IF('امتیاز دهی خبرگان'!$D90=0,0,IF('امتیاز دهی خبرگان'!$D90=1,'طیف فازی'!$B$2,IF('امتیاز دهی خبرگان'!$D90=2,'طیف فازی'!$B$3,IF('امتیاز دهی خبرگان'!$D90=3,'طیف فازی'!$B$4,IF('امتیاز دهی خبرگان'!$D90=4,'طیف فازی'!$B$5,'طیف فازی'!$B$6)))))</f>
        <v>0.25</v>
      </c>
      <c r="G90" s="21">
        <f>IF('امتیاز دهی خبرگان'!$D90=0,0,IF('امتیاز دهی خبرگان'!$D90=1,'طیف فازی'!$D$2,IF('امتیاز دهی خبرگان'!$D90=2,'طیف فازی'!$C$3,IF('امتیاز دهی خبرگان'!$D90=3,'طیف فازی'!$C$4,IF('امتیاز دهی خبرگان'!$D90=4,'طیف فازی'!$C$5,'طیف فازی'!$C$6)))))</f>
        <v>0.5</v>
      </c>
      <c r="H90" s="22">
        <f>IF('امتیاز دهی خبرگان'!$D90=0,0,IF('امتیاز دهی خبرگان'!$D90=1,'طیف فازی'!$D$2,IF('امتیاز دهی خبرگان'!$D90=2,'طیف فازی'!$D$3,IF('امتیاز دهی خبرگان'!$D90=3,'طیف فازی'!$D$4,IF('امتیاز دهی خبرگان'!$D90=4,'طیف فازی'!$D$5,'طیف فازی'!$D$6)))))</f>
        <v>0.75</v>
      </c>
      <c r="I90" s="17">
        <f>IF('امتیاز دهی خبرگان'!$E90=0,0,IF('امتیاز دهی خبرگان'!$E90=1,'طیف فازی'!$B$2,IF('امتیاز دهی خبرگان'!$E90=2,'طیف فازی'!$B$3,IF('امتیاز دهی خبرگان'!$E90=3,'طیف فازی'!$B$4,IF('امتیاز دهی خبرگان'!$E90=4,'طیف فازی'!$B$5,'طیف فازی'!$B$6)))))</f>
        <v>0.5</v>
      </c>
      <c r="J90" s="18">
        <f>IF('امتیاز دهی خبرگان'!$E90=0,0,IF('امتیاز دهی خبرگان'!$E90=1,'طیف فازی'!$C$2,IF('امتیاز دهی خبرگان'!$E90=2,'طیف فازی'!$C$3,IF('امتیاز دهی خبرگان'!$E90=3,'طیف فازی'!$C$4,IF('امتیاز دهی خبرگان'!$E90=4,'طیف فازی'!$C$5,'طیف فازی'!$C$6)))))</f>
        <v>0.75</v>
      </c>
      <c r="K90" s="19">
        <f>IF('امتیاز دهی خبرگان'!$E90=0,0,IF('امتیاز دهی خبرگان'!$E90=1,'طیف فازی'!$D$2,IF('امتیاز دهی خبرگان'!$E90=2,'طیف فازی'!$D$3,IF('امتیاز دهی خبرگان'!$E90=3,'طیف فازی'!$D$4,IF('امتیاز دهی خبرگان'!$E90=4,'طیف فازی'!$D$5,'طیف فازی'!$D$6)))))</f>
        <v>1</v>
      </c>
      <c r="L90" s="17">
        <f>IF('امتیاز دهی خبرگان'!$F90=0,0,IF('امتیاز دهی خبرگان'!$F90=1,'طیف فازی'!$B$2,IF('امتیاز دهی خبرگان'!$F90=2,'طیف فازی'!$B$3,IF('امتیاز دهی خبرگان'!$F90=3,'طیف فازی'!$B$4,IF('امتیاز دهی خبرگان'!$F90=4,'طیف فازی'!$B$5,'طیف فازی'!$B$6)))))</f>
        <v>0.5</v>
      </c>
      <c r="M90" s="18">
        <f>IF('امتیاز دهی خبرگان'!$F90=0,0,IF('امتیاز دهی خبرگان'!$F90=1,'طیف فازی'!$C$2,IF('امتیاز دهی خبرگان'!$F90=2,'طیف فازی'!$C$3,IF('امتیاز دهی خبرگان'!$F90=3,'طیف فازی'!$C$4,IF('امتیاز دهی خبرگان'!$F90=4,'طیف فازی'!$C$5,'طیف فازی'!$C$6)))))</f>
        <v>0.75</v>
      </c>
      <c r="N90" s="19">
        <f>IF('امتیاز دهی خبرگان'!$F90=0,0,IF('امتیاز دهی خبرگان'!$F90=1,'طیف فازی'!$D$2,IF('امتیاز دهی خبرگان'!$F90=2,'طیف فازی'!$D$3,IF('امتیاز دهی خبرگان'!$F90=3,'طیف فازی'!$D$4,IF('امتیاز دهی خبرگان'!$F90=4,'طیف فازی'!$D$5,'طیف فازی'!$D$6)))))</f>
        <v>1</v>
      </c>
      <c r="O90" s="17">
        <f>IF('امتیاز دهی خبرگان'!$G90=0,0,IF('امتیاز دهی خبرگان'!$G90=1,'طیف فازی'!$B$2,IF('امتیاز دهی خبرگان'!$G90=2,'طیف فازی'!$B$3,IF('امتیاز دهی خبرگان'!$G90=3,'طیف فازی'!$B$4,IF('امتیاز دهی خبرگان'!$G90=4,'طیف فازی'!$B$5,'طیف فازی'!$B$6)))))</f>
        <v>0.5</v>
      </c>
      <c r="P90" s="18">
        <f>IF('امتیاز دهی خبرگان'!$G90=0,0,IF('امتیاز دهی خبرگان'!$G90=1,'طیف فازی'!$C$2,IF('امتیاز دهی خبرگان'!$G90=2,'طیف فازی'!$C$3,IF('امتیاز دهی خبرگان'!$G90=3,'طیف فازی'!$C$4,IF('امتیاز دهی خبرگان'!$G90=4,'طیف فازی'!$C$5,'طیف فازی'!$C$6)))))</f>
        <v>0.75</v>
      </c>
      <c r="Q90" s="19">
        <f>IF('امتیاز دهی خبرگان'!$G90=0,0,IF('امتیاز دهی خبرگان'!$G90=1,'طیف فازی'!$D$2,IF('امتیاز دهی خبرگان'!$G90=2,'طیف فازی'!$D$3,IF('امتیاز دهی خبرگان'!$G90=3,'طیف فازی'!$D$4,IF('امتیاز دهی خبرگان'!$G90=4,'طیف فازی'!$D$5,'طیف فازی'!$D$6)))))</f>
        <v>1</v>
      </c>
      <c r="R90" s="17">
        <f>IF('امتیاز دهی خبرگان'!$H90=0,0,IF('امتیاز دهی خبرگان'!$H90=1,'طیف فازی'!$B$2,IF('امتیاز دهی خبرگان'!$H90=2,'طیف فازی'!$B$3,IF('امتیاز دهی خبرگان'!$H90=3,'طیف فازی'!$B$4,IF('امتیاز دهی خبرگان'!$H90=4,'طیف فازی'!$B$5,'طیف فازی'!$B$6)))))</f>
        <v>0.5</v>
      </c>
      <c r="S90" s="18">
        <f>IF('امتیاز دهی خبرگان'!$H90=0,0,IF('امتیاز دهی خبرگان'!$H90=1,'طیف فازی'!$C$2,IF('امتیاز دهی خبرگان'!$H90=2,'طیف فازی'!$C$3,IF('امتیاز دهی خبرگان'!$H90=3,'طیف فازی'!$C$4,IF('امتیاز دهی خبرگان'!$H90=4,'طیف فازی'!$C$5,'طیف فازی'!$C$6)))))</f>
        <v>0.75</v>
      </c>
      <c r="T90" s="19">
        <f>IF('امتیاز دهی خبرگان'!$H90=0,0,IF('امتیاز دهی خبرگان'!$H90=1,'طیف فازی'!$D$2,IF('امتیاز دهی خبرگان'!$H90=2,'طیف فازی'!$D$3,IF('امتیاز دهی خبرگان'!$H90=3,'طیف فازی'!$D$4,IF('امتیاز دهی خبرگان'!$H90=4,'طیف فازی'!$D$5,'طیف فازی'!$D$6)))))</f>
        <v>1</v>
      </c>
      <c r="U90" s="17">
        <f>IF('امتیاز دهی خبرگان'!$I90=0,0,IF('امتیاز دهی خبرگان'!$I90=1,'طیف فازی'!$B$2,IF('امتیاز دهی خبرگان'!$I90=2,'طیف فازی'!$B$3,IF('امتیاز دهی خبرگان'!$I90=3,'طیف فازی'!$B$4,IF('امتیاز دهی خبرگان'!$I90=4,'طیف فازی'!$B$5,'طیف فازی'!$B$6)))))</f>
        <v>0.75</v>
      </c>
      <c r="V90" s="18">
        <f>IF('امتیاز دهی خبرگان'!$I90=0,0,IF('امتیاز دهی خبرگان'!$I90=1,'طیف فازی'!$C$2,IF('امتیاز دهی خبرگان'!$I90=2,'طیف فازی'!$C$3,IF('امتیاز دهی خبرگان'!$I90=3,'طیف فازی'!$C$4,IF('امتیاز دهی خبرگان'!$I90=4,'طیف فازی'!$C$5,'طیف فازی'!$C$6)))))</f>
        <v>1</v>
      </c>
      <c r="W90" s="19">
        <f>IF('امتیاز دهی خبرگان'!$I90=0,0,IF('امتیاز دهی خبرگان'!$I90=1,'طیف فازی'!$D$2,IF('امتیاز دهی خبرگان'!$I90=2,'طیف فازی'!$D$3,IF('امتیاز دهی خبرگان'!$I90=3,'طیف فازی'!$D$4,IF('امتیاز دهی خبرگان'!$I90=4,'طیف فازی'!$D$5,'طیف فازی'!$D$6)))))</f>
        <v>1</v>
      </c>
      <c r="X90" s="17">
        <f>IF('امتیاز دهی خبرگان'!$J90=0,0,IF('امتیاز دهی خبرگان'!$J90=1,'طیف فازی'!$B$2,IF('امتیاز دهی خبرگان'!$J90=2,'طیف فازی'!$B$3,IF('امتیاز دهی خبرگان'!$J90=3,'طیف فازی'!$B$4,IF('امتیاز دهی خبرگان'!$J90=4,'طیف فازی'!$B$5,'طیف فازی'!$B$6)))))</f>
        <v>0.5</v>
      </c>
      <c r="Y90" s="18">
        <f>IF('امتیاز دهی خبرگان'!$J90=0,0,IF('امتیاز دهی خبرگان'!$J90=1,'طیف فازی'!$C$2,IF('امتیاز دهی خبرگان'!$J90=2,'طیف فازی'!$C$3,IF('امتیاز دهی خبرگان'!$J90=3,'طیف فازی'!$C$4,IF('امتیاز دهی خبرگان'!$J90=4,'طیف فازی'!$C$5,'طیف فازی'!$C$6)))))</f>
        <v>0.75</v>
      </c>
      <c r="Z90" s="19">
        <f>IF('امتیاز دهی خبرگان'!$J90=0,0,IF('امتیاز دهی خبرگان'!$J90=1,'طیف فازی'!$D$2,IF('امتیاز دهی خبرگان'!$J90=2,'طیف فازی'!$D$3,IF('امتیاز دهی خبرگان'!$J90=3,'طیف فازی'!$D$4,IF('امتیاز دهی خبرگان'!$J90=4,'طیف فازی'!$D$5,'طیف فازی'!$D$6)))))</f>
        <v>1</v>
      </c>
      <c r="AA90" s="17">
        <f>IF('امتیاز دهی خبرگان'!$K90=0,0,IF('امتیاز دهی خبرگان'!$K90=1,'طیف فازی'!$B$2,IF('امتیاز دهی خبرگان'!$K90=2,'طیف فازی'!$B$3,IF('امتیاز دهی خبرگان'!$K90=3,'طیف فازی'!$B$4,IF('امتیاز دهی خبرگان'!$K90=4,'طیف فازی'!$B$5,'طیف فازی'!$B$6)))))</f>
        <v>0.75</v>
      </c>
      <c r="AB90" s="18">
        <f>IF('امتیاز دهی خبرگان'!$K90=0,0,IF('امتیاز دهی خبرگان'!$K90=1,'طیف فازی'!$C$2,IF('امتیاز دهی خبرگان'!$K90=2,'طیف فازی'!$C$3,IF('امتیاز دهی خبرگان'!$K90=3,'طیف فازی'!$C$4,IF('امتیاز دهی خبرگان'!$K90=4,'طیف فازی'!$C$5,'طیف فازی'!$C$6)))))</f>
        <v>1</v>
      </c>
      <c r="AC90" s="19">
        <f>IF('امتیاز دهی خبرگان'!$K90=0,0,IF('امتیاز دهی خبرگان'!$K90=1,'طیف فازی'!$D$2,IF('امتیاز دهی خبرگان'!$K90=2,'طیف فازی'!$D$3,IF('امتیاز دهی خبرگان'!$K90=3,'طیف فازی'!$D$4,IF('امتیاز دهی خبرگان'!$K90=4,'طیف فازی'!$D$5,'طیف فازی'!$D$6)))))</f>
        <v>1</v>
      </c>
      <c r="AD90" s="17">
        <f>IF('امتیاز دهی خبرگان'!$L90=0,0,IF('امتیاز دهی خبرگان'!$L90=1,'طیف فازی'!$B$2,IF('امتیاز دهی خبرگان'!$L90=2,'طیف فازی'!$B$3,IF('امتیاز دهی خبرگان'!$L90=3,'طیف فازی'!$B$4,IF('امتیاز دهی خبرگان'!$L90=4,'طیف فازی'!$B$5,'طیف فازی'!$B$6)))))</f>
        <v>0.75</v>
      </c>
      <c r="AE90" s="18">
        <f>IF('امتیاز دهی خبرگان'!$L90=0,0,IF('امتیاز دهی خبرگان'!$L90=1,'طیف فازی'!$C$2,IF('امتیاز دهی خبرگان'!$L90=2,'طیف فازی'!$C$3,IF('امتیاز دهی خبرگان'!$L90=3,'طیف فازی'!$C$4,IF('امتیاز دهی خبرگان'!$L90=4,'طیف فازی'!$C$5,'طیف فازی'!$C$6)))))</f>
        <v>1</v>
      </c>
      <c r="AF90" s="19">
        <f>IF('امتیاز دهی خبرگان'!$L90=0,0,IF('امتیاز دهی خبرگان'!$L90=1,'طیف فازی'!$D$2,IF('امتیاز دهی خبرگان'!$L90=2,'طیف فازی'!$D$3,IF('امتیاز دهی خبرگان'!$L90=3,'طیف فازی'!$D$4,IF('امتیاز دهی خبرگان'!$L90=4,'طیف فازی'!$D$5,'طیف فازی'!$D$6)))))</f>
        <v>1</v>
      </c>
      <c r="AG90" s="17">
        <f>IF('امتیاز دهی خبرگان'!$M90=0,0,IF('امتیاز دهی خبرگان'!$M90=1,'طیف فازی'!$B$2,IF('امتیاز دهی خبرگان'!$M90=2,'طیف فازی'!$B$3,IF('امتیاز دهی خبرگان'!$M90=3,'طیف فازی'!$B$4,IF('امتیاز دهی خبرگان'!$M90=4,'طیف فازی'!$B$5,'طیف فازی'!$B$6)))))</f>
        <v>0.25</v>
      </c>
      <c r="AH90" s="18">
        <f>IF('امتیاز دهی خبرگان'!$M90=0,0,IF('امتیاز دهی خبرگان'!$M90=1,'طیف فازی'!$C$2,IF('امتیاز دهی خبرگان'!$M90=2,'طیف فازی'!$C$3,IF('امتیاز دهی خبرگان'!$M90=3,'طیف فازی'!$C$4,IF('امتیاز دهی خبرگان'!$M90=4,'طیف فازی'!$C$5,'طیف فازی'!$C$6)))))</f>
        <v>0.5</v>
      </c>
      <c r="AI90" s="19">
        <f>IF('امتیاز دهی خبرگان'!$M90=0,0,IF('امتیاز دهی خبرگان'!$M90=1,'طیف فازی'!$D$2,IF('امتیاز دهی خبرگان'!$M90=2,'طیف فازی'!$D$3,IF('امتیاز دهی خبرگان'!$M90=3,'طیف فازی'!$D$4,IF('امتیاز دهی خبرگان'!$M90=4,'طیف فازی'!$D$5,'طیف فازی'!$D$6)))))</f>
        <v>0.75</v>
      </c>
      <c r="AJ90" s="17">
        <f>IF('امتیاز دهی خبرگان'!$N90=0,0,IF('امتیاز دهی خبرگان'!$N90=1,'طیف فازی'!$B$2,IF('امتیاز دهی خبرگان'!$N90=2,'طیف فازی'!$B$3,IF('امتیاز دهی خبرگان'!$N90=3,'طیف فازی'!$B$4,IF('امتیاز دهی خبرگان'!$N90=4,'طیف فازی'!$B$5,'طیف فازی'!$B$6)))))</f>
        <v>0.5</v>
      </c>
      <c r="AK90" s="18">
        <f>IF('امتیاز دهی خبرگان'!$N90=0,0,IF('امتیاز دهی خبرگان'!$N90=1,'طیف فازی'!$C$2,IF('امتیاز دهی خبرگان'!$N90=2,'طیف فازی'!$C$3,IF('امتیاز دهی خبرگان'!$N90=3,'طیف فازی'!$C$4,IF('امتیاز دهی خبرگان'!$N90=4,'طیف فازی'!$C$5,'طیف فازی'!$C$6)))))</f>
        <v>0.75</v>
      </c>
      <c r="AL90" s="19">
        <f>IF('امتیاز دهی خبرگان'!$N90=0,0,IF('امتیاز دهی خبرگان'!$N90=1,'طیف فازی'!$D$2,IF('امتیاز دهی خبرگان'!$N90=2,'طیف فازی'!$D$3,IF('امتیاز دهی خبرگان'!$N90=3,'طیف فازی'!$D$4,IF('امتیاز دهی خبرگان'!$N90=4,'طیف فازی'!$D$5,'طیف فازی'!$D$6)))))</f>
        <v>1</v>
      </c>
      <c r="AM90" s="23">
        <f t="shared" si="9"/>
        <v>6.5</v>
      </c>
      <c r="AN90" s="23">
        <f t="shared" si="10"/>
        <v>9.5</v>
      </c>
      <c r="AO90" s="24">
        <f t="shared" si="11"/>
        <v>11.5</v>
      </c>
      <c r="AP90" s="25">
        <f t="shared" si="12"/>
        <v>0.54166666666666663</v>
      </c>
      <c r="AQ90" s="23">
        <f t="shared" si="13"/>
        <v>0.79166666666666663</v>
      </c>
      <c r="AR90" s="24">
        <f t="shared" si="14"/>
        <v>0.95833333333333337</v>
      </c>
      <c r="AS90" s="24">
        <f t="shared" si="15"/>
        <v>0.76388888888888884</v>
      </c>
      <c r="AT90" s="24" t="str">
        <f t="shared" si="16"/>
        <v>Pass</v>
      </c>
    </row>
    <row r="91" spans="2:46" ht="23.25" customHeight="1" thickBot="1" x14ac:dyDescent="0.85">
      <c r="B91" s="2">
        <v>87</v>
      </c>
      <c r="C91" s="17">
        <f>IF('امتیاز دهی خبرگان'!$C91=0,0,IF('امتیاز دهی خبرگان'!$C91=1,'طیف فازی'!$B$2,IF('امتیاز دهی خبرگان'!$C91=2,'طیف فازی'!$B$3,IF('امتیاز دهی خبرگان'!$C91=3,'طیف فازی'!$B$4,IF('امتیاز دهی خبرگان'!$C91=4,'طیف فازی'!$B$5,'طیف فازی'!$B$6)))))</f>
        <v>0.75</v>
      </c>
      <c r="D91" s="18">
        <f>IF('امتیاز دهی خبرگان'!$C91=0,0,IF('امتیاز دهی خبرگان'!$C91=1,'طیف فازی'!$C$2,IF('امتیاز دهی خبرگان'!$C91=2,'طیف فازی'!$C$3,IF('امتیاز دهی خبرگان'!$C91=3,'طیف فازی'!$C$4,IF('امتیاز دهی خبرگان'!$C91=4,'طیف فازی'!$C$5,'طیف فازی'!$C$6)))))</f>
        <v>1</v>
      </c>
      <c r="E91" s="19">
        <f>IF('امتیاز دهی خبرگان'!$C91=0,0,IF('امتیاز دهی خبرگان'!$C91=1,'طیف فازی'!$D$2,IF('امتیاز دهی خبرگان'!$C91=2,'طیف فازی'!$D$3,IF('امتیاز دهی خبرگان'!$C91=3,'طیف فازی'!$D$4,IF('امتیاز دهی خبرگان'!$C91=4,'طیف فازی'!$D$5,'طیف فازی'!$D$6)))))</f>
        <v>1</v>
      </c>
      <c r="F91" s="20">
        <f>IF('امتیاز دهی خبرگان'!$D91=0,0,IF('امتیاز دهی خبرگان'!$D91=1,'طیف فازی'!$B$2,IF('امتیاز دهی خبرگان'!$D91=2,'طیف فازی'!$B$3,IF('امتیاز دهی خبرگان'!$D91=3,'طیف فازی'!$B$4,IF('امتیاز دهی خبرگان'!$D91=4,'طیف فازی'!$B$5,'طیف فازی'!$B$6)))))</f>
        <v>0.25</v>
      </c>
      <c r="G91" s="21">
        <f>IF('امتیاز دهی خبرگان'!$D91=0,0,IF('امتیاز دهی خبرگان'!$D91=1,'طیف فازی'!$D$2,IF('امتیاز دهی خبرگان'!$D91=2,'طیف فازی'!$C$3,IF('امتیاز دهی خبرگان'!$D91=3,'طیف فازی'!$C$4,IF('امتیاز دهی خبرگان'!$D91=4,'طیف فازی'!$C$5,'طیف فازی'!$C$6)))))</f>
        <v>0.5</v>
      </c>
      <c r="H91" s="22">
        <f>IF('امتیاز دهی خبرگان'!$D91=0,0,IF('امتیاز دهی خبرگان'!$D91=1,'طیف فازی'!$D$2,IF('امتیاز دهی خبرگان'!$D91=2,'طیف فازی'!$D$3,IF('امتیاز دهی خبرگان'!$D91=3,'طیف فازی'!$D$4,IF('امتیاز دهی خبرگان'!$D91=4,'طیف فازی'!$D$5,'طیف فازی'!$D$6)))))</f>
        <v>0.75</v>
      </c>
      <c r="I91" s="17">
        <f>IF('امتیاز دهی خبرگان'!$E91=0,0,IF('امتیاز دهی خبرگان'!$E91=1,'طیف فازی'!$B$2,IF('امتیاز دهی خبرگان'!$E91=2,'طیف فازی'!$B$3,IF('امتیاز دهی خبرگان'!$E91=3,'طیف فازی'!$B$4,IF('امتیاز دهی خبرگان'!$E91=4,'طیف فازی'!$B$5,'طیف فازی'!$B$6)))))</f>
        <v>0.75</v>
      </c>
      <c r="J91" s="18">
        <f>IF('امتیاز دهی خبرگان'!$E91=0,0,IF('امتیاز دهی خبرگان'!$E91=1,'طیف فازی'!$C$2,IF('امتیاز دهی خبرگان'!$E91=2,'طیف فازی'!$C$3,IF('امتیاز دهی خبرگان'!$E91=3,'طیف فازی'!$C$4,IF('امتیاز دهی خبرگان'!$E91=4,'طیف فازی'!$C$5,'طیف فازی'!$C$6)))))</f>
        <v>1</v>
      </c>
      <c r="K91" s="19">
        <f>IF('امتیاز دهی خبرگان'!$E91=0,0,IF('امتیاز دهی خبرگان'!$E91=1,'طیف فازی'!$D$2,IF('امتیاز دهی خبرگان'!$E91=2,'طیف فازی'!$D$3,IF('امتیاز دهی خبرگان'!$E91=3,'طیف فازی'!$D$4,IF('امتیاز دهی خبرگان'!$E91=4,'طیف فازی'!$D$5,'طیف فازی'!$D$6)))))</f>
        <v>1</v>
      </c>
      <c r="L91" s="17">
        <f>IF('امتیاز دهی خبرگان'!$F91=0,0,IF('امتیاز دهی خبرگان'!$F91=1,'طیف فازی'!$B$2,IF('امتیاز دهی خبرگان'!$F91=2,'طیف فازی'!$B$3,IF('امتیاز دهی خبرگان'!$F91=3,'طیف فازی'!$B$4,IF('امتیاز دهی خبرگان'!$F91=4,'طیف فازی'!$B$5,'طیف فازی'!$B$6)))))</f>
        <v>0.5</v>
      </c>
      <c r="M91" s="18">
        <f>IF('امتیاز دهی خبرگان'!$F91=0,0,IF('امتیاز دهی خبرگان'!$F91=1,'طیف فازی'!$C$2,IF('امتیاز دهی خبرگان'!$F91=2,'طیف فازی'!$C$3,IF('امتیاز دهی خبرگان'!$F91=3,'طیف فازی'!$C$4,IF('امتیاز دهی خبرگان'!$F91=4,'طیف فازی'!$C$5,'طیف فازی'!$C$6)))))</f>
        <v>0.75</v>
      </c>
      <c r="N91" s="19">
        <f>IF('امتیاز دهی خبرگان'!$F91=0,0,IF('امتیاز دهی خبرگان'!$F91=1,'طیف فازی'!$D$2,IF('امتیاز دهی خبرگان'!$F91=2,'طیف فازی'!$D$3,IF('امتیاز دهی خبرگان'!$F91=3,'طیف فازی'!$D$4,IF('امتیاز دهی خبرگان'!$F91=4,'طیف فازی'!$D$5,'طیف فازی'!$D$6)))))</f>
        <v>1</v>
      </c>
      <c r="O91" s="17">
        <f>IF('امتیاز دهی خبرگان'!$G91=0,0,IF('امتیاز دهی خبرگان'!$G91=1,'طیف فازی'!$B$2,IF('امتیاز دهی خبرگان'!$G91=2,'طیف فازی'!$B$3,IF('امتیاز دهی خبرگان'!$G91=3,'طیف فازی'!$B$4,IF('امتیاز دهی خبرگان'!$G91=4,'طیف فازی'!$B$5,'طیف فازی'!$B$6)))))</f>
        <v>0.5</v>
      </c>
      <c r="P91" s="18">
        <f>IF('امتیاز دهی خبرگان'!$G91=0,0,IF('امتیاز دهی خبرگان'!$G91=1,'طیف فازی'!$C$2,IF('امتیاز دهی خبرگان'!$G91=2,'طیف فازی'!$C$3,IF('امتیاز دهی خبرگان'!$G91=3,'طیف فازی'!$C$4,IF('امتیاز دهی خبرگان'!$G91=4,'طیف فازی'!$C$5,'طیف فازی'!$C$6)))))</f>
        <v>0.75</v>
      </c>
      <c r="Q91" s="19">
        <f>IF('امتیاز دهی خبرگان'!$G91=0,0,IF('امتیاز دهی خبرگان'!$G91=1,'طیف فازی'!$D$2,IF('امتیاز دهی خبرگان'!$G91=2,'طیف فازی'!$D$3,IF('امتیاز دهی خبرگان'!$G91=3,'طیف فازی'!$D$4,IF('امتیاز دهی خبرگان'!$G91=4,'طیف فازی'!$D$5,'طیف فازی'!$D$6)))))</f>
        <v>1</v>
      </c>
      <c r="R91" s="17">
        <f>IF('امتیاز دهی خبرگان'!$H91=0,0,IF('امتیاز دهی خبرگان'!$H91=1,'طیف فازی'!$B$2,IF('امتیاز دهی خبرگان'!$H91=2,'طیف فازی'!$B$3,IF('امتیاز دهی خبرگان'!$H91=3,'طیف فازی'!$B$4,IF('امتیاز دهی خبرگان'!$H91=4,'طیف فازی'!$B$5,'طیف فازی'!$B$6)))))</f>
        <v>0.25</v>
      </c>
      <c r="S91" s="18">
        <f>IF('امتیاز دهی خبرگان'!$H91=0,0,IF('امتیاز دهی خبرگان'!$H91=1,'طیف فازی'!$C$2,IF('امتیاز دهی خبرگان'!$H91=2,'طیف فازی'!$C$3,IF('امتیاز دهی خبرگان'!$H91=3,'طیف فازی'!$C$4,IF('امتیاز دهی خبرگان'!$H91=4,'طیف فازی'!$C$5,'طیف فازی'!$C$6)))))</f>
        <v>0.5</v>
      </c>
      <c r="T91" s="19">
        <f>IF('امتیاز دهی خبرگان'!$H91=0,0,IF('امتیاز دهی خبرگان'!$H91=1,'طیف فازی'!$D$2,IF('امتیاز دهی خبرگان'!$H91=2,'طیف فازی'!$D$3,IF('امتیاز دهی خبرگان'!$H91=3,'طیف فازی'!$D$4,IF('امتیاز دهی خبرگان'!$H91=4,'طیف فازی'!$D$5,'طیف فازی'!$D$6)))))</f>
        <v>0.75</v>
      </c>
      <c r="U91" s="17">
        <f>IF('امتیاز دهی خبرگان'!$I91=0,0,IF('امتیاز دهی خبرگان'!$I91=1,'طیف فازی'!$B$2,IF('امتیاز دهی خبرگان'!$I91=2,'طیف فازی'!$B$3,IF('امتیاز دهی خبرگان'!$I91=3,'طیف فازی'!$B$4,IF('امتیاز دهی خبرگان'!$I91=4,'طیف فازی'!$B$5,'طیف فازی'!$B$6)))))</f>
        <v>0.5</v>
      </c>
      <c r="V91" s="18">
        <f>IF('امتیاز دهی خبرگان'!$I91=0,0,IF('امتیاز دهی خبرگان'!$I91=1,'طیف فازی'!$C$2,IF('امتیاز دهی خبرگان'!$I91=2,'طیف فازی'!$C$3,IF('امتیاز دهی خبرگان'!$I91=3,'طیف فازی'!$C$4,IF('امتیاز دهی خبرگان'!$I91=4,'طیف فازی'!$C$5,'طیف فازی'!$C$6)))))</f>
        <v>0.75</v>
      </c>
      <c r="W91" s="19">
        <f>IF('امتیاز دهی خبرگان'!$I91=0,0,IF('امتیاز دهی خبرگان'!$I91=1,'طیف فازی'!$D$2,IF('امتیاز دهی خبرگان'!$I91=2,'طیف فازی'!$D$3,IF('امتیاز دهی خبرگان'!$I91=3,'طیف فازی'!$D$4,IF('امتیاز دهی خبرگان'!$I91=4,'طیف فازی'!$D$5,'طیف فازی'!$D$6)))))</f>
        <v>1</v>
      </c>
      <c r="X91" s="17">
        <f>IF('امتیاز دهی خبرگان'!$J91=0,0,IF('امتیاز دهی خبرگان'!$J91=1,'طیف فازی'!$B$2,IF('امتیاز دهی خبرگان'!$J91=2,'طیف فازی'!$B$3,IF('امتیاز دهی خبرگان'!$J91=3,'طیف فازی'!$B$4,IF('امتیاز دهی خبرگان'!$J91=4,'طیف فازی'!$B$5,'طیف فازی'!$B$6)))))</f>
        <v>0.5</v>
      </c>
      <c r="Y91" s="18">
        <f>IF('امتیاز دهی خبرگان'!$J91=0,0,IF('امتیاز دهی خبرگان'!$J91=1,'طیف فازی'!$C$2,IF('امتیاز دهی خبرگان'!$J91=2,'طیف فازی'!$C$3,IF('امتیاز دهی خبرگان'!$J91=3,'طیف فازی'!$C$4,IF('امتیاز دهی خبرگان'!$J91=4,'طیف فازی'!$C$5,'طیف فازی'!$C$6)))))</f>
        <v>0.75</v>
      </c>
      <c r="Z91" s="19">
        <f>IF('امتیاز دهی خبرگان'!$J91=0,0,IF('امتیاز دهی خبرگان'!$J91=1,'طیف فازی'!$D$2,IF('امتیاز دهی خبرگان'!$J91=2,'طیف فازی'!$D$3,IF('امتیاز دهی خبرگان'!$J91=3,'طیف فازی'!$D$4,IF('امتیاز دهی خبرگان'!$J91=4,'طیف فازی'!$D$5,'طیف فازی'!$D$6)))))</f>
        <v>1</v>
      </c>
      <c r="AA91" s="17">
        <f>IF('امتیاز دهی خبرگان'!$K91=0,0,IF('امتیاز دهی خبرگان'!$K91=1,'طیف فازی'!$B$2,IF('امتیاز دهی خبرگان'!$K91=2,'طیف فازی'!$B$3,IF('امتیاز دهی خبرگان'!$K91=3,'طیف فازی'!$B$4,IF('امتیاز دهی خبرگان'!$K91=4,'طیف فازی'!$B$5,'طیف فازی'!$B$6)))))</f>
        <v>0.75</v>
      </c>
      <c r="AB91" s="18">
        <f>IF('امتیاز دهی خبرگان'!$K91=0,0,IF('امتیاز دهی خبرگان'!$K91=1,'طیف فازی'!$C$2,IF('امتیاز دهی خبرگان'!$K91=2,'طیف فازی'!$C$3,IF('امتیاز دهی خبرگان'!$K91=3,'طیف فازی'!$C$4,IF('امتیاز دهی خبرگان'!$K91=4,'طیف فازی'!$C$5,'طیف فازی'!$C$6)))))</f>
        <v>1</v>
      </c>
      <c r="AC91" s="19">
        <f>IF('امتیاز دهی خبرگان'!$K91=0,0,IF('امتیاز دهی خبرگان'!$K91=1,'طیف فازی'!$D$2,IF('امتیاز دهی خبرگان'!$K91=2,'طیف فازی'!$D$3,IF('امتیاز دهی خبرگان'!$K91=3,'طیف فازی'!$D$4,IF('امتیاز دهی خبرگان'!$K91=4,'طیف فازی'!$D$5,'طیف فازی'!$D$6)))))</f>
        <v>1</v>
      </c>
      <c r="AD91" s="17">
        <f>IF('امتیاز دهی خبرگان'!$L91=0,0,IF('امتیاز دهی خبرگان'!$L91=1,'طیف فازی'!$B$2,IF('امتیاز دهی خبرگان'!$L91=2,'طیف فازی'!$B$3,IF('امتیاز دهی خبرگان'!$L91=3,'طیف فازی'!$B$4,IF('امتیاز دهی خبرگان'!$L91=4,'طیف فازی'!$B$5,'طیف فازی'!$B$6)))))</f>
        <v>0.25</v>
      </c>
      <c r="AE91" s="18">
        <f>IF('امتیاز دهی خبرگان'!$L91=0,0,IF('امتیاز دهی خبرگان'!$L91=1,'طیف فازی'!$C$2,IF('امتیاز دهی خبرگان'!$L91=2,'طیف فازی'!$C$3,IF('امتیاز دهی خبرگان'!$L91=3,'طیف فازی'!$C$4,IF('امتیاز دهی خبرگان'!$L91=4,'طیف فازی'!$C$5,'طیف فازی'!$C$6)))))</f>
        <v>0.5</v>
      </c>
      <c r="AF91" s="19">
        <f>IF('امتیاز دهی خبرگان'!$L91=0,0,IF('امتیاز دهی خبرگان'!$L91=1,'طیف فازی'!$D$2,IF('امتیاز دهی خبرگان'!$L91=2,'طیف فازی'!$D$3,IF('امتیاز دهی خبرگان'!$L91=3,'طیف فازی'!$D$4,IF('امتیاز دهی خبرگان'!$L91=4,'طیف فازی'!$D$5,'طیف فازی'!$D$6)))))</f>
        <v>0.75</v>
      </c>
      <c r="AG91" s="17">
        <f>IF('امتیاز دهی خبرگان'!$M91=0,0,IF('امتیاز دهی خبرگان'!$M91=1,'طیف فازی'!$B$2,IF('امتیاز دهی خبرگان'!$M91=2,'طیف فازی'!$B$3,IF('امتیاز دهی خبرگان'!$M91=3,'طیف فازی'!$B$4,IF('امتیاز دهی خبرگان'!$M91=4,'طیف فازی'!$B$5,'طیف فازی'!$B$6)))))</f>
        <v>0.5</v>
      </c>
      <c r="AH91" s="18">
        <f>IF('امتیاز دهی خبرگان'!$M91=0,0,IF('امتیاز دهی خبرگان'!$M91=1,'طیف فازی'!$C$2,IF('امتیاز دهی خبرگان'!$M91=2,'طیف فازی'!$C$3,IF('امتیاز دهی خبرگان'!$M91=3,'طیف فازی'!$C$4,IF('امتیاز دهی خبرگان'!$M91=4,'طیف فازی'!$C$5,'طیف فازی'!$C$6)))))</f>
        <v>0.75</v>
      </c>
      <c r="AI91" s="19">
        <f>IF('امتیاز دهی خبرگان'!$M91=0,0,IF('امتیاز دهی خبرگان'!$M91=1,'طیف فازی'!$D$2,IF('امتیاز دهی خبرگان'!$M91=2,'طیف فازی'!$D$3,IF('امتیاز دهی خبرگان'!$M91=3,'طیف فازی'!$D$4,IF('امتیاز دهی خبرگان'!$M91=4,'طیف فازی'!$D$5,'طیف فازی'!$D$6)))))</f>
        <v>1</v>
      </c>
      <c r="AJ91" s="17">
        <f>IF('امتیاز دهی خبرگان'!$N91=0,0,IF('امتیاز دهی خبرگان'!$N91=1,'طیف فازی'!$B$2,IF('امتیاز دهی خبرگان'!$N91=2,'طیف فازی'!$B$3,IF('امتیاز دهی خبرگان'!$N91=3,'طیف فازی'!$B$4,IF('امتیاز دهی خبرگان'!$N91=4,'طیف فازی'!$B$5,'طیف فازی'!$B$6)))))</f>
        <v>0.75</v>
      </c>
      <c r="AK91" s="18">
        <f>IF('امتیاز دهی خبرگان'!$N91=0,0,IF('امتیاز دهی خبرگان'!$N91=1,'طیف فازی'!$C$2,IF('امتیاز دهی خبرگان'!$N91=2,'طیف فازی'!$C$3,IF('امتیاز دهی خبرگان'!$N91=3,'طیف فازی'!$C$4,IF('امتیاز دهی خبرگان'!$N91=4,'طیف فازی'!$C$5,'طیف فازی'!$C$6)))))</f>
        <v>1</v>
      </c>
      <c r="AL91" s="19">
        <f>IF('امتیاز دهی خبرگان'!$N91=0,0,IF('امتیاز دهی خبرگان'!$N91=1,'طیف فازی'!$D$2,IF('امتیاز دهی خبرگان'!$N91=2,'طیف فازی'!$D$3,IF('امتیاز دهی خبرگان'!$N91=3,'طیف فازی'!$D$4,IF('امتیاز دهی خبرگان'!$N91=4,'طیف فازی'!$D$5,'طیف فازی'!$D$6)))))</f>
        <v>1</v>
      </c>
      <c r="AM91" s="23">
        <f t="shared" si="9"/>
        <v>6.25</v>
      </c>
      <c r="AN91" s="23">
        <f t="shared" si="10"/>
        <v>9.25</v>
      </c>
      <c r="AO91" s="24">
        <f t="shared" si="11"/>
        <v>11.25</v>
      </c>
      <c r="AP91" s="25">
        <f t="shared" si="12"/>
        <v>0.52083333333333337</v>
      </c>
      <c r="AQ91" s="23">
        <f t="shared" si="13"/>
        <v>0.77083333333333337</v>
      </c>
      <c r="AR91" s="24">
        <f t="shared" si="14"/>
        <v>0.9375</v>
      </c>
      <c r="AS91" s="24">
        <f t="shared" si="15"/>
        <v>0.74305555555555569</v>
      </c>
      <c r="AT91" s="24" t="str">
        <f t="shared" si="16"/>
        <v>Pass</v>
      </c>
    </row>
    <row r="92" spans="2:46" ht="23.25" customHeight="1" thickBot="1" x14ac:dyDescent="0.85">
      <c r="B92" s="2">
        <v>88</v>
      </c>
      <c r="C92" s="17">
        <f>IF('امتیاز دهی خبرگان'!$C92=0,0,IF('امتیاز دهی خبرگان'!$C92=1,'طیف فازی'!$B$2,IF('امتیاز دهی خبرگان'!$C92=2,'طیف فازی'!$B$3,IF('امتیاز دهی خبرگان'!$C92=3,'طیف فازی'!$B$4,IF('امتیاز دهی خبرگان'!$C92=4,'طیف فازی'!$B$5,'طیف فازی'!$B$6)))))</f>
        <v>0.75</v>
      </c>
      <c r="D92" s="18">
        <f>IF('امتیاز دهی خبرگان'!$C92=0,0,IF('امتیاز دهی خبرگان'!$C92=1,'طیف فازی'!$C$2,IF('امتیاز دهی خبرگان'!$C92=2,'طیف فازی'!$C$3,IF('امتیاز دهی خبرگان'!$C92=3,'طیف فازی'!$C$4,IF('امتیاز دهی خبرگان'!$C92=4,'طیف فازی'!$C$5,'طیف فازی'!$C$6)))))</f>
        <v>1</v>
      </c>
      <c r="E92" s="19">
        <f>IF('امتیاز دهی خبرگان'!$C92=0,0,IF('امتیاز دهی خبرگان'!$C92=1,'طیف فازی'!$D$2,IF('امتیاز دهی خبرگان'!$C92=2,'طیف فازی'!$D$3,IF('امتیاز دهی خبرگان'!$C92=3,'طیف فازی'!$D$4,IF('امتیاز دهی خبرگان'!$C92=4,'طیف فازی'!$D$5,'طیف فازی'!$D$6)))))</f>
        <v>1</v>
      </c>
      <c r="F92" s="20">
        <f>IF('امتیاز دهی خبرگان'!$D92=0,0,IF('امتیاز دهی خبرگان'!$D92=1,'طیف فازی'!$B$2,IF('امتیاز دهی خبرگان'!$D92=2,'طیف فازی'!$B$3,IF('امتیاز دهی خبرگان'!$D92=3,'طیف فازی'!$B$4,IF('امتیاز دهی خبرگان'!$D92=4,'طیف فازی'!$B$5,'طیف فازی'!$B$6)))))</f>
        <v>0</v>
      </c>
      <c r="G92" s="21">
        <f>IF('امتیاز دهی خبرگان'!$D92=0,0,IF('امتیاز دهی خبرگان'!$D92=1,'طیف فازی'!$D$2,IF('امتیاز دهی خبرگان'!$D92=2,'طیف فازی'!$C$3,IF('امتیاز دهی خبرگان'!$D92=3,'طیف فازی'!$C$4,IF('امتیاز دهی خبرگان'!$D92=4,'طیف فازی'!$C$5,'طیف فازی'!$C$6)))))</f>
        <v>0.25</v>
      </c>
      <c r="H92" s="22">
        <f>IF('امتیاز دهی خبرگان'!$D92=0,0,IF('امتیاز دهی خبرگان'!$D92=1,'طیف فازی'!$D$2,IF('امتیاز دهی خبرگان'!$D92=2,'طیف فازی'!$D$3,IF('امتیاز دهی خبرگان'!$D92=3,'طیف فازی'!$D$4,IF('امتیاز دهی خبرگان'!$D92=4,'طیف فازی'!$D$5,'طیف فازی'!$D$6)))))</f>
        <v>0.5</v>
      </c>
      <c r="I92" s="17">
        <f>IF('امتیاز دهی خبرگان'!$E92=0,0,IF('امتیاز دهی خبرگان'!$E92=1,'طیف فازی'!$B$2,IF('امتیاز دهی خبرگان'!$E92=2,'طیف فازی'!$B$3,IF('امتیاز دهی خبرگان'!$E92=3,'طیف فازی'!$B$4,IF('امتیاز دهی خبرگان'!$E92=4,'طیف فازی'!$B$5,'طیف فازی'!$B$6)))))</f>
        <v>0.5</v>
      </c>
      <c r="J92" s="18">
        <f>IF('امتیاز دهی خبرگان'!$E92=0,0,IF('امتیاز دهی خبرگان'!$E92=1,'طیف فازی'!$C$2,IF('امتیاز دهی خبرگان'!$E92=2,'طیف فازی'!$C$3,IF('امتیاز دهی خبرگان'!$E92=3,'طیف فازی'!$C$4,IF('امتیاز دهی خبرگان'!$E92=4,'طیف فازی'!$C$5,'طیف فازی'!$C$6)))))</f>
        <v>0.75</v>
      </c>
      <c r="K92" s="19">
        <f>IF('امتیاز دهی خبرگان'!$E92=0,0,IF('امتیاز دهی خبرگان'!$E92=1,'طیف فازی'!$D$2,IF('امتیاز دهی خبرگان'!$E92=2,'طیف فازی'!$D$3,IF('امتیاز دهی خبرگان'!$E92=3,'طیف فازی'!$D$4,IF('امتیاز دهی خبرگان'!$E92=4,'طیف فازی'!$D$5,'طیف فازی'!$D$6)))))</f>
        <v>1</v>
      </c>
      <c r="L92" s="17">
        <f>IF('امتیاز دهی خبرگان'!$F92=0,0,IF('امتیاز دهی خبرگان'!$F92=1,'طیف فازی'!$B$2,IF('امتیاز دهی خبرگان'!$F92=2,'طیف فازی'!$B$3,IF('امتیاز دهی خبرگان'!$F92=3,'طیف فازی'!$B$4,IF('امتیاز دهی خبرگان'!$F92=4,'طیف فازی'!$B$5,'طیف فازی'!$B$6)))))</f>
        <v>0.75</v>
      </c>
      <c r="M92" s="18">
        <f>IF('امتیاز دهی خبرگان'!$F92=0,0,IF('امتیاز دهی خبرگان'!$F92=1,'طیف فازی'!$C$2,IF('امتیاز دهی خبرگان'!$F92=2,'طیف فازی'!$C$3,IF('امتیاز دهی خبرگان'!$F92=3,'طیف فازی'!$C$4,IF('امتیاز دهی خبرگان'!$F92=4,'طیف فازی'!$C$5,'طیف فازی'!$C$6)))))</f>
        <v>1</v>
      </c>
      <c r="N92" s="19">
        <f>IF('امتیاز دهی خبرگان'!$F92=0,0,IF('امتیاز دهی خبرگان'!$F92=1,'طیف فازی'!$D$2,IF('امتیاز دهی خبرگان'!$F92=2,'طیف فازی'!$D$3,IF('امتیاز دهی خبرگان'!$F92=3,'طیف فازی'!$D$4,IF('امتیاز دهی خبرگان'!$F92=4,'طیف فازی'!$D$5,'طیف فازی'!$D$6)))))</f>
        <v>1</v>
      </c>
      <c r="O92" s="17">
        <f>IF('امتیاز دهی خبرگان'!$G92=0,0,IF('امتیاز دهی خبرگان'!$G92=1,'طیف فازی'!$B$2,IF('امتیاز دهی خبرگان'!$G92=2,'طیف فازی'!$B$3,IF('امتیاز دهی خبرگان'!$G92=3,'طیف فازی'!$B$4,IF('امتیاز دهی خبرگان'!$G92=4,'طیف فازی'!$B$5,'طیف فازی'!$B$6)))))</f>
        <v>0.5</v>
      </c>
      <c r="P92" s="18">
        <f>IF('امتیاز دهی خبرگان'!$G92=0,0,IF('امتیاز دهی خبرگان'!$G92=1,'طیف فازی'!$C$2,IF('امتیاز دهی خبرگان'!$G92=2,'طیف فازی'!$C$3,IF('امتیاز دهی خبرگان'!$G92=3,'طیف فازی'!$C$4,IF('امتیاز دهی خبرگان'!$G92=4,'طیف فازی'!$C$5,'طیف فازی'!$C$6)))))</f>
        <v>0.75</v>
      </c>
      <c r="Q92" s="19">
        <f>IF('امتیاز دهی خبرگان'!$G92=0,0,IF('امتیاز دهی خبرگان'!$G92=1,'طیف فازی'!$D$2,IF('امتیاز دهی خبرگان'!$G92=2,'طیف فازی'!$D$3,IF('امتیاز دهی خبرگان'!$G92=3,'طیف فازی'!$D$4,IF('امتیاز دهی خبرگان'!$G92=4,'طیف فازی'!$D$5,'طیف فازی'!$D$6)))))</f>
        <v>1</v>
      </c>
      <c r="R92" s="17">
        <f>IF('امتیاز دهی خبرگان'!$H92=0,0,IF('امتیاز دهی خبرگان'!$H92=1,'طیف فازی'!$B$2,IF('امتیاز دهی خبرگان'!$H92=2,'طیف فازی'!$B$3,IF('امتیاز دهی خبرگان'!$H92=3,'طیف فازی'!$B$4,IF('امتیاز دهی خبرگان'!$H92=4,'طیف فازی'!$B$5,'طیف فازی'!$B$6)))))</f>
        <v>0.75</v>
      </c>
      <c r="S92" s="18">
        <f>IF('امتیاز دهی خبرگان'!$H92=0,0,IF('امتیاز دهی خبرگان'!$H92=1,'طیف فازی'!$C$2,IF('امتیاز دهی خبرگان'!$H92=2,'طیف فازی'!$C$3,IF('امتیاز دهی خبرگان'!$H92=3,'طیف فازی'!$C$4,IF('امتیاز دهی خبرگان'!$H92=4,'طیف فازی'!$C$5,'طیف فازی'!$C$6)))))</f>
        <v>1</v>
      </c>
      <c r="T92" s="19">
        <f>IF('امتیاز دهی خبرگان'!$H92=0,0,IF('امتیاز دهی خبرگان'!$H92=1,'طیف فازی'!$D$2,IF('امتیاز دهی خبرگان'!$H92=2,'طیف فازی'!$D$3,IF('امتیاز دهی خبرگان'!$H92=3,'طیف فازی'!$D$4,IF('امتیاز دهی خبرگان'!$H92=4,'طیف فازی'!$D$5,'طیف فازی'!$D$6)))))</f>
        <v>1</v>
      </c>
      <c r="U92" s="17">
        <f>IF('امتیاز دهی خبرگان'!$I92=0,0,IF('امتیاز دهی خبرگان'!$I92=1,'طیف فازی'!$B$2,IF('امتیاز دهی خبرگان'!$I92=2,'طیف فازی'!$B$3,IF('امتیاز دهی خبرگان'!$I92=3,'طیف فازی'!$B$4,IF('امتیاز دهی خبرگان'!$I92=4,'طیف فازی'!$B$5,'طیف فازی'!$B$6)))))</f>
        <v>0.5</v>
      </c>
      <c r="V92" s="18">
        <f>IF('امتیاز دهی خبرگان'!$I92=0,0,IF('امتیاز دهی خبرگان'!$I92=1,'طیف فازی'!$C$2,IF('امتیاز دهی خبرگان'!$I92=2,'طیف فازی'!$C$3,IF('امتیاز دهی خبرگان'!$I92=3,'طیف فازی'!$C$4,IF('امتیاز دهی خبرگان'!$I92=4,'طیف فازی'!$C$5,'طیف فازی'!$C$6)))))</f>
        <v>0.75</v>
      </c>
      <c r="W92" s="19">
        <f>IF('امتیاز دهی خبرگان'!$I92=0,0,IF('امتیاز دهی خبرگان'!$I92=1,'طیف فازی'!$D$2,IF('امتیاز دهی خبرگان'!$I92=2,'طیف فازی'!$D$3,IF('امتیاز دهی خبرگان'!$I92=3,'طیف فازی'!$D$4,IF('امتیاز دهی خبرگان'!$I92=4,'طیف فازی'!$D$5,'طیف فازی'!$D$6)))))</f>
        <v>1</v>
      </c>
      <c r="X92" s="17">
        <f>IF('امتیاز دهی خبرگان'!$J92=0,0,IF('امتیاز دهی خبرگان'!$J92=1,'طیف فازی'!$B$2,IF('امتیاز دهی خبرگان'!$J92=2,'طیف فازی'!$B$3,IF('امتیاز دهی خبرگان'!$J92=3,'طیف فازی'!$B$4,IF('امتیاز دهی خبرگان'!$J92=4,'طیف فازی'!$B$5,'طیف فازی'!$B$6)))))</f>
        <v>0.75</v>
      </c>
      <c r="Y92" s="18">
        <f>IF('امتیاز دهی خبرگان'!$J92=0,0,IF('امتیاز دهی خبرگان'!$J92=1,'طیف فازی'!$C$2,IF('امتیاز دهی خبرگان'!$J92=2,'طیف فازی'!$C$3,IF('امتیاز دهی خبرگان'!$J92=3,'طیف فازی'!$C$4,IF('امتیاز دهی خبرگان'!$J92=4,'طیف فازی'!$C$5,'طیف فازی'!$C$6)))))</f>
        <v>1</v>
      </c>
      <c r="Z92" s="19">
        <f>IF('امتیاز دهی خبرگان'!$J92=0,0,IF('امتیاز دهی خبرگان'!$J92=1,'طیف فازی'!$D$2,IF('امتیاز دهی خبرگان'!$J92=2,'طیف فازی'!$D$3,IF('امتیاز دهی خبرگان'!$J92=3,'طیف فازی'!$D$4,IF('امتیاز دهی خبرگان'!$J92=4,'طیف فازی'!$D$5,'طیف فازی'!$D$6)))))</f>
        <v>1</v>
      </c>
      <c r="AA92" s="17">
        <f>IF('امتیاز دهی خبرگان'!$K92=0,0,IF('امتیاز دهی خبرگان'!$K92=1,'طیف فازی'!$B$2,IF('امتیاز دهی خبرگان'!$K92=2,'طیف فازی'!$B$3,IF('امتیاز دهی خبرگان'!$K92=3,'طیف فازی'!$B$4,IF('امتیاز دهی خبرگان'!$K92=4,'طیف فازی'!$B$5,'طیف فازی'!$B$6)))))</f>
        <v>0.75</v>
      </c>
      <c r="AB92" s="18">
        <f>IF('امتیاز دهی خبرگان'!$K92=0,0,IF('امتیاز دهی خبرگان'!$K92=1,'طیف فازی'!$C$2,IF('امتیاز دهی خبرگان'!$K92=2,'طیف فازی'!$C$3,IF('امتیاز دهی خبرگان'!$K92=3,'طیف فازی'!$C$4,IF('امتیاز دهی خبرگان'!$K92=4,'طیف فازی'!$C$5,'طیف فازی'!$C$6)))))</f>
        <v>1</v>
      </c>
      <c r="AC92" s="19">
        <f>IF('امتیاز دهی خبرگان'!$K92=0,0,IF('امتیاز دهی خبرگان'!$K92=1,'طیف فازی'!$D$2,IF('امتیاز دهی خبرگان'!$K92=2,'طیف فازی'!$D$3,IF('امتیاز دهی خبرگان'!$K92=3,'طیف فازی'!$D$4,IF('امتیاز دهی خبرگان'!$K92=4,'طیف فازی'!$D$5,'طیف فازی'!$D$6)))))</f>
        <v>1</v>
      </c>
      <c r="AD92" s="17">
        <f>IF('امتیاز دهی خبرگان'!$L92=0,0,IF('امتیاز دهی خبرگان'!$L92=1,'طیف فازی'!$B$2,IF('امتیاز دهی خبرگان'!$L92=2,'طیف فازی'!$B$3,IF('امتیاز دهی خبرگان'!$L92=3,'طیف فازی'!$B$4,IF('امتیاز دهی خبرگان'!$L92=4,'طیف فازی'!$B$5,'طیف فازی'!$B$6)))))</f>
        <v>0.75</v>
      </c>
      <c r="AE92" s="18">
        <f>IF('امتیاز دهی خبرگان'!$L92=0,0,IF('امتیاز دهی خبرگان'!$L92=1,'طیف فازی'!$C$2,IF('امتیاز دهی خبرگان'!$L92=2,'طیف فازی'!$C$3,IF('امتیاز دهی خبرگان'!$L92=3,'طیف فازی'!$C$4,IF('امتیاز دهی خبرگان'!$L92=4,'طیف فازی'!$C$5,'طیف فازی'!$C$6)))))</f>
        <v>1</v>
      </c>
      <c r="AF92" s="19">
        <f>IF('امتیاز دهی خبرگان'!$L92=0,0,IF('امتیاز دهی خبرگان'!$L92=1,'طیف فازی'!$D$2,IF('امتیاز دهی خبرگان'!$L92=2,'طیف فازی'!$D$3,IF('امتیاز دهی خبرگان'!$L92=3,'طیف فازی'!$D$4,IF('امتیاز دهی خبرگان'!$L92=4,'طیف فازی'!$D$5,'طیف فازی'!$D$6)))))</f>
        <v>1</v>
      </c>
      <c r="AG92" s="17">
        <f>IF('امتیاز دهی خبرگان'!$M92=0,0,IF('امتیاز دهی خبرگان'!$M92=1,'طیف فازی'!$B$2,IF('امتیاز دهی خبرگان'!$M92=2,'طیف فازی'!$B$3,IF('امتیاز دهی خبرگان'!$M92=3,'طیف فازی'!$B$4,IF('امتیاز دهی خبرگان'!$M92=4,'طیف فازی'!$B$5,'طیف فازی'!$B$6)))))</f>
        <v>0.75</v>
      </c>
      <c r="AH92" s="18">
        <f>IF('امتیاز دهی خبرگان'!$M92=0,0,IF('امتیاز دهی خبرگان'!$M92=1,'طیف فازی'!$C$2,IF('امتیاز دهی خبرگان'!$M92=2,'طیف فازی'!$C$3,IF('امتیاز دهی خبرگان'!$M92=3,'طیف فازی'!$C$4,IF('امتیاز دهی خبرگان'!$M92=4,'طیف فازی'!$C$5,'طیف فازی'!$C$6)))))</f>
        <v>1</v>
      </c>
      <c r="AI92" s="19">
        <f>IF('امتیاز دهی خبرگان'!$M92=0,0,IF('امتیاز دهی خبرگان'!$M92=1,'طیف فازی'!$D$2,IF('امتیاز دهی خبرگان'!$M92=2,'طیف فازی'!$D$3,IF('امتیاز دهی خبرگان'!$M92=3,'طیف فازی'!$D$4,IF('امتیاز دهی خبرگان'!$M92=4,'طیف فازی'!$D$5,'طیف فازی'!$D$6)))))</f>
        <v>1</v>
      </c>
      <c r="AJ92" s="17">
        <f>IF('امتیاز دهی خبرگان'!$N92=0,0,IF('امتیاز دهی خبرگان'!$N92=1,'طیف فازی'!$B$2,IF('امتیاز دهی خبرگان'!$N92=2,'طیف فازی'!$B$3,IF('امتیاز دهی خبرگان'!$N92=3,'طیف فازی'!$B$4,IF('امتیاز دهی خبرگان'!$N92=4,'طیف فازی'!$B$5,'طیف فازی'!$B$6)))))</f>
        <v>0.25</v>
      </c>
      <c r="AK92" s="18">
        <f>IF('امتیاز دهی خبرگان'!$N92=0,0,IF('امتیاز دهی خبرگان'!$N92=1,'طیف فازی'!$C$2,IF('امتیاز دهی خبرگان'!$N92=2,'طیف فازی'!$C$3,IF('امتیاز دهی خبرگان'!$N92=3,'طیف فازی'!$C$4,IF('امتیاز دهی خبرگان'!$N92=4,'طیف فازی'!$C$5,'طیف فازی'!$C$6)))))</f>
        <v>0.5</v>
      </c>
      <c r="AL92" s="19">
        <f>IF('امتیاز دهی خبرگان'!$N92=0,0,IF('امتیاز دهی خبرگان'!$N92=1,'طیف فازی'!$D$2,IF('امتیاز دهی خبرگان'!$N92=2,'طیف فازی'!$D$3,IF('امتیاز دهی خبرگان'!$N92=3,'طیف فازی'!$D$4,IF('امتیاز دهی خبرگان'!$N92=4,'طیف فازی'!$D$5,'طیف فازی'!$D$6)))))</f>
        <v>0.75</v>
      </c>
      <c r="AM92" s="23">
        <f t="shared" si="9"/>
        <v>7</v>
      </c>
      <c r="AN92" s="23">
        <f t="shared" si="10"/>
        <v>10</v>
      </c>
      <c r="AO92" s="24">
        <f t="shared" si="11"/>
        <v>11.25</v>
      </c>
      <c r="AP92" s="25">
        <f t="shared" si="12"/>
        <v>0.58333333333333337</v>
      </c>
      <c r="AQ92" s="23">
        <f t="shared" si="13"/>
        <v>0.83333333333333337</v>
      </c>
      <c r="AR92" s="24">
        <f t="shared" si="14"/>
        <v>0.9375</v>
      </c>
      <c r="AS92" s="24">
        <f t="shared" si="15"/>
        <v>0.78472222222222232</v>
      </c>
      <c r="AT92" s="24" t="str">
        <f t="shared" si="16"/>
        <v>Pass</v>
      </c>
    </row>
    <row r="93" spans="2:46" ht="23.25" customHeight="1" thickBot="1" x14ac:dyDescent="0.85">
      <c r="B93" s="2">
        <v>89</v>
      </c>
      <c r="C93" s="17">
        <f>IF('امتیاز دهی خبرگان'!$C93=0,0,IF('امتیاز دهی خبرگان'!$C93=1,'طیف فازی'!$B$2,IF('امتیاز دهی خبرگان'!$C93=2,'طیف فازی'!$B$3,IF('امتیاز دهی خبرگان'!$C93=3,'طیف فازی'!$B$4,IF('امتیاز دهی خبرگان'!$C93=4,'طیف فازی'!$B$5,'طیف فازی'!$B$6)))))</f>
        <v>0.75</v>
      </c>
      <c r="D93" s="18">
        <f>IF('امتیاز دهی خبرگان'!$C93=0,0,IF('امتیاز دهی خبرگان'!$C93=1,'طیف فازی'!$C$2,IF('امتیاز دهی خبرگان'!$C93=2,'طیف فازی'!$C$3,IF('امتیاز دهی خبرگان'!$C93=3,'طیف فازی'!$C$4,IF('امتیاز دهی خبرگان'!$C93=4,'طیف فازی'!$C$5,'طیف فازی'!$C$6)))))</f>
        <v>1</v>
      </c>
      <c r="E93" s="19">
        <f>IF('امتیاز دهی خبرگان'!$C93=0,0,IF('امتیاز دهی خبرگان'!$C93=1,'طیف فازی'!$D$2,IF('امتیاز دهی خبرگان'!$C93=2,'طیف فازی'!$D$3,IF('امتیاز دهی خبرگان'!$C93=3,'طیف فازی'!$D$4,IF('امتیاز دهی خبرگان'!$C93=4,'طیف فازی'!$D$5,'طیف فازی'!$D$6)))))</f>
        <v>1</v>
      </c>
      <c r="F93" s="20">
        <f>IF('امتیاز دهی خبرگان'!$D93=0,0,IF('امتیاز دهی خبرگان'!$D93=1,'طیف فازی'!$B$2,IF('امتیاز دهی خبرگان'!$D93=2,'طیف فازی'!$B$3,IF('امتیاز دهی خبرگان'!$D93=3,'طیف فازی'!$B$4,IF('امتیاز دهی خبرگان'!$D93=4,'طیف فازی'!$B$5,'طیف فازی'!$B$6)))))</f>
        <v>0.25</v>
      </c>
      <c r="G93" s="21">
        <f>IF('امتیاز دهی خبرگان'!$D93=0,0,IF('امتیاز دهی خبرگان'!$D93=1,'طیف فازی'!$D$2,IF('امتیاز دهی خبرگان'!$D93=2,'طیف فازی'!$C$3,IF('امتیاز دهی خبرگان'!$D93=3,'طیف فازی'!$C$4,IF('امتیاز دهی خبرگان'!$D93=4,'طیف فازی'!$C$5,'طیف فازی'!$C$6)))))</f>
        <v>0.5</v>
      </c>
      <c r="H93" s="22">
        <f>IF('امتیاز دهی خبرگان'!$D93=0,0,IF('امتیاز دهی خبرگان'!$D93=1,'طیف فازی'!$D$2,IF('امتیاز دهی خبرگان'!$D93=2,'طیف فازی'!$D$3,IF('امتیاز دهی خبرگان'!$D93=3,'طیف فازی'!$D$4,IF('امتیاز دهی خبرگان'!$D93=4,'طیف فازی'!$D$5,'طیف فازی'!$D$6)))))</f>
        <v>0.75</v>
      </c>
      <c r="I93" s="17">
        <f>IF('امتیاز دهی خبرگان'!$E93=0,0,IF('امتیاز دهی خبرگان'!$E93=1,'طیف فازی'!$B$2,IF('امتیاز دهی خبرگان'!$E93=2,'طیف فازی'!$B$3,IF('امتیاز دهی خبرگان'!$E93=3,'طیف فازی'!$B$4,IF('امتیاز دهی خبرگان'!$E93=4,'طیف فازی'!$B$5,'طیف فازی'!$B$6)))))</f>
        <v>0.75</v>
      </c>
      <c r="J93" s="18">
        <f>IF('امتیاز دهی خبرگان'!$E93=0,0,IF('امتیاز دهی خبرگان'!$E93=1,'طیف فازی'!$C$2,IF('امتیاز دهی خبرگان'!$E93=2,'طیف فازی'!$C$3,IF('امتیاز دهی خبرگان'!$E93=3,'طیف فازی'!$C$4,IF('امتیاز دهی خبرگان'!$E93=4,'طیف فازی'!$C$5,'طیف فازی'!$C$6)))))</f>
        <v>1</v>
      </c>
      <c r="K93" s="19">
        <f>IF('امتیاز دهی خبرگان'!$E93=0,0,IF('امتیاز دهی خبرگان'!$E93=1,'طیف فازی'!$D$2,IF('امتیاز دهی خبرگان'!$E93=2,'طیف فازی'!$D$3,IF('امتیاز دهی خبرگان'!$E93=3,'طیف فازی'!$D$4,IF('امتیاز دهی خبرگان'!$E93=4,'طیف فازی'!$D$5,'طیف فازی'!$D$6)))))</f>
        <v>1</v>
      </c>
      <c r="L93" s="17">
        <f>IF('امتیاز دهی خبرگان'!$F93=0,0,IF('امتیاز دهی خبرگان'!$F93=1,'طیف فازی'!$B$2,IF('امتیاز دهی خبرگان'!$F93=2,'طیف فازی'!$B$3,IF('امتیاز دهی خبرگان'!$F93=3,'طیف فازی'!$B$4,IF('امتیاز دهی خبرگان'!$F93=4,'طیف فازی'!$B$5,'طیف فازی'!$B$6)))))</f>
        <v>0.75</v>
      </c>
      <c r="M93" s="18">
        <f>IF('امتیاز دهی خبرگان'!$F93=0,0,IF('امتیاز دهی خبرگان'!$F93=1,'طیف فازی'!$C$2,IF('امتیاز دهی خبرگان'!$F93=2,'طیف فازی'!$C$3,IF('امتیاز دهی خبرگان'!$F93=3,'طیف فازی'!$C$4,IF('امتیاز دهی خبرگان'!$F93=4,'طیف فازی'!$C$5,'طیف فازی'!$C$6)))))</f>
        <v>1</v>
      </c>
      <c r="N93" s="19">
        <f>IF('امتیاز دهی خبرگان'!$F93=0,0,IF('امتیاز دهی خبرگان'!$F93=1,'طیف فازی'!$D$2,IF('امتیاز دهی خبرگان'!$F93=2,'طیف فازی'!$D$3,IF('امتیاز دهی خبرگان'!$F93=3,'طیف فازی'!$D$4,IF('امتیاز دهی خبرگان'!$F93=4,'طیف فازی'!$D$5,'طیف فازی'!$D$6)))))</f>
        <v>1</v>
      </c>
      <c r="O93" s="17">
        <f>IF('امتیاز دهی خبرگان'!$G93=0,0,IF('امتیاز دهی خبرگان'!$G93=1,'طیف فازی'!$B$2,IF('امتیاز دهی خبرگان'!$G93=2,'طیف فازی'!$B$3,IF('امتیاز دهی خبرگان'!$G93=3,'طیف فازی'!$B$4,IF('امتیاز دهی خبرگان'!$G93=4,'طیف فازی'!$B$5,'طیف فازی'!$B$6)))))</f>
        <v>0.75</v>
      </c>
      <c r="P93" s="18">
        <f>IF('امتیاز دهی خبرگان'!$G93=0,0,IF('امتیاز دهی خبرگان'!$G93=1,'طیف فازی'!$C$2,IF('امتیاز دهی خبرگان'!$G93=2,'طیف فازی'!$C$3,IF('امتیاز دهی خبرگان'!$G93=3,'طیف فازی'!$C$4,IF('امتیاز دهی خبرگان'!$G93=4,'طیف فازی'!$C$5,'طیف فازی'!$C$6)))))</f>
        <v>1</v>
      </c>
      <c r="Q93" s="19">
        <f>IF('امتیاز دهی خبرگان'!$G93=0,0,IF('امتیاز دهی خبرگان'!$G93=1,'طیف فازی'!$D$2,IF('امتیاز دهی خبرگان'!$G93=2,'طیف فازی'!$D$3,IF('امتیاز دهی خبرگان'!$G93=3,'طیف فازی'!$D$4,IF('امتیاز دهی خبرگان'!$G93=4,'طیف فازی'!$D$5,'طیف فازی'!$D$6)))))</f>
        <v>1</v>
      </c>
      <c r="R93" s="17">
        <f>IF('امتیاز دهی خبرگان'!$H93=0,0,IF('امتیاز دهی خبرگان'!$H93=1,'طیف فازی'!$B$2,IF('امتیاز دهی خبرگان'!$H93=2,'طیف فازی'!$B$3,IF('امتیاز دهی خبرگان'!$H93=3,'طیف فازی'!$B$4,IF('امتیاز دهی خبرگان'!$H93=4,'طیف فازی'!$B$5,'طیف فازی'!$B$6)))))</f>
        <v>0.5</v>
      </c>
      <c r="S93" s="18">
        <f>IF('امتیاز دهی خبرگان'!$H93=0,0,IF('امتیاز دهی خبرگان'!$H93=1,'طیف فازی'!$C$2,IF('امتیاز دهی خبرگان'!$H93=2,'طیف فازی'!$C$3,IF('امتیاز دهی خبرگان'!$H93=3,'طیف فازی'!$C$4,IF('امتیاز دهی خبرگان'!$H93=4,'طیف فازی'!$C$5,'طیف فازی'!$C$6)))))</f>
        <v>0.75</v>
      </c>
      <c r="T93" s="19">
        <f>IF('امتیاز دهی خبرگان'!$H93=0,0,IF('امتیاز دهی خبرگان'!$H93=1,'طیف فازی'!$D$2,IF('امتیاز دهی خبرگان'!$H93=2,'طیف فازی'!$D$3,IF('امتیاز دهی خبرگان'!$H93=3,'طیف فازی'!$D$4,IF('امتیاز دهی خبرگان'!$H93=4,'طیف فازی'!$D$5,'طیف فازی'!$D$6)))))</f>
        <v>1</v>
      </c>
      <c r="U93" s="17">
        <f>IF('امتیاز دهی خبرگان'!$I93=0,0,IF('امتیاز دهی خبرگان'!$I93=1,'طیف فازی'!$B$2,IF('امتیاز دهی خبرگان'!$I93=2,'طیف فازی'!$B$3,IF('امتیاز دهی خبرگان'!$I93=3,'طیف فازی'!$B$4,IF('امتیاز دهی خبرگان'!$I93=4,'طیف فازی'!$B$5,'طیف فازی'!$B$6)))))</f>
        <v>0.25</v>
      </c>
      <c r="V93" s="18">
        <f>IF('امتیاز دهی خبرگان'!$I93=0,0,IF('امتیاز دهی خبرگان'!$I93=1,'طیف فازی'!$C$2,IF('امتیاز دهی خبرگان'!$I93=2,'طیف فازی'!$C$3,IF('امتیاز دهی خبرگان'!$I93=3,'طیف فازی'!$C$4,IF('امتیاز دهی خبرگان'!$I93=4,'طیف فازی'!$C$5,'طیف فازی'!$C$6)))))</f>
        <v>0.5</v>
      </c>
      <c r="W93" s="19">
        <f>IF('امتیاز دهی خبرگان'!$I93=0,0,IF('امتیاز دهی خبرگان'!$I93=1,'طیف فازی'!$D$2,IF('امتیاز دهی خبرگان'!$I93=2,'طیف فازی'!$D$3,IF('امتیاز دهی خبرگان'!$I93=3,'طیف فازی'!$D$4,IF('امتیاز دهی خبرگان'!$I93=4,'طیف فازی'!$D$5,'طیف فازی'!$D$6)))))</f>
        <v>0.75</v>
      </c>
      <c r="X93" s="17">
        <f>IF('امتیاز دهی خبرگان'!$J93=0,0,IF('امتیاز دهی خبرگان'!$J93=1,'طیف فازی'!$B$2,IF('امتیاز دهی خبرگان'!$J93=2,'طیف فازی'!$B$3,IF('امتیاز دهی خبرگان'!$J93=3,'طیف فازی'!$B$4,IF('امتیاز دهی خبرگان'!$J93=4,'طیف فازی'!$B$5,'طیف فازی'!$B$6)))))</f>
        <v>0.5</v>
      </c>
      <c r="Y93" s="18">
        <f>IF('امتیاز دهی خبرگان'!$J93=0,0,IF('امتیاز دهی خبرگان'!$J93=1,'طیف فازی'!$C$2,IF('امتیاز دهی خبرگان'!$J93=2,'طیف فازی'!$C$3,IF('امتیاز دهی خبرگان'!$J93=3,'طیف فازی'!$C$4,IF('امتیاز دهی خبرگان'!$J93=4,'طیف فازی'!$C$5,'طیف فازی'!$C$6)))))</f>
        <v>0.75</v>
      </c>
      <c r="Z93" s="19">
        <f>IF('امتیاز دهی خبرگان'!$J93=0,0,IF('امتیاز دهی خبرگان'!$J93=1,'طیف فازی'!$D$2,IF('امتیاز دهی خبرگان'!$J93=2,'طیف فازی'!$D$3,IF('امتیاز دهی خبرگان'!$J93=3,'طیف فازی'!$D$4,IF('امتیاز دهی خبرگان'!$J93=4,'طیف فازی'!$D$5,'طیف فازی'!$D$6)))))</f>
        <v>1</v>
      </c>
      <c r="AA93" s="17">
        <f>IF('امتیاز دهی خبرگان'!$K93=0,0,IF('امتیاز دهی خبرگان'!$K93=1,'طیف فازی'!$B$2,IF('امتیاز دهی خبرگان'!$K93=2,'طیف فازی'!$B$3,IF('امتیاز دهی خبرگان'!$K93=3,'طیف فازی'!$B$4,IF('امتیاز دهی خبرگان'!$K93=4,'طیف فازی'!$B$5,'طیف فازی'!$B$6)))))</f>
        <v>0.5</v>
      </c>
      <c r="AB93" s="18">
        <f>IF('امتیاز دهی خبرگان'!$K93=0,0,IF('امتیاز دهی خبرگان'!$K93=1,'طیف فازی'!$C$2,IF('امتیاز دهی خبرگان'!$K93=2,'طیف فازی'!$C$3,IF('امتیاز دهی خبرگان'!$K93=3,'طیف فازی'!$C$4,IF('امتیاز دهی خبرگان'!$K93=4,'طیف فازی'!$C$5,'طیف فازی'!$C$6)))))</f>
        <v>0.75</v>
      </c>
      <c r="AC93" s="19">
        <f>IF('امتیاز دهی خبرگان'!$K93=0,0,IF('امتیاز دهی خبرگان'!$K93=1,'طیف فازی'!$D$2,IF('امتیاز دهی خبرگان'!$K93=2,'طیف فازی'!$D$3,IF('امتیاز دهی خبرگان'!$K93=3,'طیف فازی'!$D$4,IF('امتیاز دهی خبرگان'!$K93=4,'طیف فازی'!$D$5,'طیف فازی'!$D$6)))))</f>
        <v>1</v>
      </c>
      <c r="AD93" s="17">
        <f>IF('امتیاز دهی خبرگان'!$L93=0,0,IF('امتیاز دهی خبرگان'!$L93=1,'طیف فازی'!$B$2,IF('امتیاز دهی خبرگان'!$L93=2,'طیف فازی'!$B$3,IF('امتیاز دهی خبرگان'!$L93=3,'طیف فازی'!$B$4,IF('امتیاز دهی خبرگان'!$L93=4,'طیف فازی'!$B$5,'طیف فازی'!$B$6)))))</f>
        <v>0</v>
      </c>
      <c r="AE93" s="18">
        <f>IF('امتیاز دهی خبرگان'!$L93=0,0,IF('امتیاز دهی خبرگان'!$L93=1,'طیف فازی'!$C$2,IF('امتیاز دهی خبرگان'!$L93=2,'طیف فازی'!$C$3,IF('امتیاز دهی خبرگان'!$L93=3,'طیف فازی'!$C$4,IF('امتیاز دهی خبرگان'!$L93=4,'طیف فازی'!$C$5,'طیف فازی'!$C$6)))))</f>
        <v>0.25</v>
      </c>
      <c r="AF93" s="19">
        <f>IF('امتیاز دهی خبرگان'!$L93=0,0,IF('امتیاز دهی خبرگان'!$L93=1,'طیف فازی'!$D$2,IF('امتیاز دهی خبرگان'!$L93=2,'طیف فازی'!$D$3,IF('امتیاز دهی خبرگان'!$L93=3,'طیف فازی'!$D$4,IF('امتیاز دهی خبرگان'!$L93=4,'طیف فازی'!$D$5,'طیف فازی'!$D$6)))))</f>
        <v>0.5</v>
      </c>
      <c r="AG93" s="17">
        <f>IF('امتیاز دهی خبرگان'!$M93=0,0,IF('امتیاز دهی خبرگان'!$M93=1,'طیف فازی'!$B$2,IF('امتیاز دهی خبرگان'!$M93=2,'طیف فازی'!$B$3,IF('امتیاز دهی خبرگان'!$M93=3,'طیف فازی'!$B$4,IF('امتیاز دهی خبرگان'!$M93=4,'طیف فازی'!$B$5,'طیف فازی'!$B$6)))))</f>
        <v>0.5</v>
      </c>
      <c r="AH93" s="18">
        <f>IF('امتیاز دهی خبرگان'!$M93=0,0,IF('امتیاز دهی خبرگان'!$M93=1,'طیف فازی'!$C$2,IF('امتیاز دهی خبرگان'!$M93=2,'طیف فازی'!$C$3,IF('امتیاز دهی خبرگان'!$M93=3,'طیف فازی'!$C$4,IF('امتیاز دهی خبرگان'!$M93=4,'طیف فازی'!$C$5,'طیف فازی'!$C$6)))))</f>
        <v>0.75</v>
      </c>
      <c r="AI93" s="19">
        <f>IF('امتیاز دهی خبرگان'!$M93=0,0,IF('امتیاز دهی خبرگان'!$M93=1,'طیف فازی'!$D$2,IF('امتیاز دهی خبرگان'!$M93=2,'طیف فازی'!$D$3,IF('امتیاز دهی خبرگان'!$M93=3,'طیف فازی'!$D$4,IF('امتیاز دهی خبرگان'!$M93=4,'طیف فازی'!$D$5,'طیف فازی'!$D$6)))))</f>
        <v>1</v>
      </c>
      <c r="AJ93" s="17">
        <f>IF('امتیاز دهی خبرگان'!$N93=0,0,IF('امتیاز دهی خبرگان'!$N93=1,'طیف فازی'!$B$2,IF('امتیاز دهی خبرگان'!$N93=2,'طیف فازی'!$B$3,IF('امتیاز دهی خبرگان'!$N93=3,'طیف فازی'!$B$4,IF('امتیاز دهی خبرگان'!$N93=4,'طیف فازی'!$B$5,'طیف فازی'!$B$6)))))</f>
        <v>0.5</v>
      </c>
      <c r="AK93" s="18">
        <f>IF('امتیاز دهی خبرگان'!$N93=0,0,IF('امتیاز دهی خبرگان'!$N93=1,'طیف فازی'!$C$2,IF('امتیاز دهی خبرگان'!$N93=2,'طیف فازی'!$C$3,IF('امتیاز دهی خبرگان'!$N93=3,'طیف فازی'!$C$4,IF('امتیاز دهی خبرگان'!$N93=4,'طیف فازی'!$C$5,'طیف فازی'!$C$6)))))</f>
        <v>0.75</v>
      </c>
      <c r="AL93" s="19">
        <f>IF('امتیاز دهی خبرگان'!$N93=0,0,IF('امتیاز دهی خبرگان'!$N93=1,'طیف فازی'!$D$2,IF('امتیاز دهی خبرگان'!$N93=2,'طیف فازی'!$D$3,IF('امتیاز دهی خبرگان'!$N93=3,'طیف فازی'!$D$4,IF('امتیاز دهی خبرگان'!$N93=4,'طیف فازی'!$D$5,'طیف فازی'!$D$6)))))</f>
        <v>1</v>
      </c>
      <c r="AM93" s="23">
        <f t="shared" si="9"/>
        <v>6</v>
      </c>
      <c r="AN93" s="23">
        <f t="shared" si="10"/>
        <v>9</v>
      </c>
      <c r="AO93" s="24">
        <f t="shared" si="11"/>
        <v>11</v>
      </c>
      <c r="AP93" s="25">
        <f t="shared" si="12"/>
        <v>0.5</v>
      </c>
      <c r="AQ93" s="23">
        <f t="shared" si="13"/>
        <v>0.75</v>
      </c>
      <c r="AR93" s="24">
        <f t="shared" si="14"/>
        <v>0.91666666666666663</v>
      </c>
      <c r="AS93" s="24">
        <f t="shared" si="15"/>
        <v>0.72222222222222221</v>
      </c>
      <c r="AT93" s="24" t="str">
        <f t="shared" si="16"/>
        <v>Pass</v>
      </c>
    </row>
    <row r="94" spans="2:46" ht="23.25" customHeight="1" thickBot="1" x14ac:dyDescent="0.85">
      <c r="B94" s="2">
        <v>90</v>
      </c>
      <c r="C94" s="17">
        <f>IF('امتیاز دهی خبرگان'!$C94=0,0,IF('امتیاز دهی خبرگان'!$C94=1,'طیف فازی'!$B$2,IF('امتیاز دهی خبرگان'!$C94=2,'طیف فازی'!$B$3,IF('امتیاز دهی خبرگان'!$C94=3,'طیف فازی'!$B$4,IF('امتیاز دهی خبرگان'!$C94=4,'طیف فازی'!$B$5,'طیف فازی'!$B$6)))))</f>
        <v>0.75</v>
      </c>
      <c r="D94" s="18">
        <f>IF('امتیاز دهی خبرگان'!$C94=0,0,IF('امتیاز دهی خبرگان'!$C94=1,'طیف فازی'!$C$2,IF('امتیاز دهی خبرگان'!$C94=2,'طیف فازی'!$C$3,IF('امتیاز دهی خبرگان'!$C94=3,'طیف فازی'!$C$4,IF('امتیاز دهی خبرگان'!$C94=4,'طیف فازی'!$C$5,'طیف فازی'!$C$6)))))</f>
        <v>1</v>
      </c>
      <c r="E94" s="19">
        <f>IF('امتیاز دهی خبرگان'!$C94=0,0,IF('امتیاز دهی خبرگان'!$C94=1,'طیف فازی'!$D$2,IF('امتیاز دهی خبرگان'!$C94=2,'طیف فازی'!$D$3,IF('امتیاز دهی خبرگان'!$C94=3,'طیف فازی'!$D$4,IF('امتیاز دهی خبرگان'!$C94=4,'طیف فازی'!$D$5,'طیف فازی'!$D$6)))))</f>
        <v>1</v>
      </c>
      <c r="F94" s="20">
        <f>IF('امتیاز دهی خبرگان'!$D94=0,0,IF('امتیاز دهی خبرگان'!$D94=1,'طیف فازی'!$B$2,IF('امتیاز دهی خبرگان'!$D94=2,'طیف فازی'!$B$3,IF('امتیاز دهی خبرگان'!$D94=3,'طیف فازی'!$B$4,IF('امتیاز دهی خبرگان'!$D94=4,'طیف فازی'!$B$5,'طیف فازی'!$B$6)))))</f>
        <v>0.25</v>
      </c>
      <c r="G94" s="21">
        <f>IF('امتیاز دهی خبرگان'!$D94=0,0,IF('امتیاز دهی خبرگان'!$D94=1,'طیف فازی'!$D$2,IF('امتیاز دهی خبرگان'!$D94=2,'طیف فازی'!$C$3,IF('امتیاز دهی خبرگان'!$D94=3,'طیف فازی'!$C$4,IF('امتیاز دهی خبرگان'!$D94=4,'طیف فازی'!$C$5,'طیف فازی'!$C$6)))))</f>
        <v>0.5</v>
      </c>
      <c r="H94" s="22">
        <f>IF('امتیاز دهی خبرگان'!$D94=0,0,IF('امتیاز دهی خبرگان'!$D94=1,'طیف فازی'!$D$2,IF('امتیاز دهی خبرگان'!$D94=2,'طیف فازی'!$D$3,IF('امتیاز دهی خبرگان'!$D94=3,'طیف فازی'!$D$4,IF('امتیاز دهی خبرگان'!$D94=4,'طیف فازی'!$D$5,'طیف فازی'!$D$6)))))</f>
        <v>0.75</v>
      </c>
      <c r="I94" s="17">
        <f>IF('امتیاز دهی خبرگان'!$E94=0,0,IF('امتیاز دهی خبرگان'!$E94=1,'طیف فازی'!$B$2,IF('امتیاز دهی خبرگان'!$E94=2,'طیف فازی'!$B$3,IF('امتیاز دهی خبرگان'!$E94=3,'طیف فازی'!$B$4,IF('امتیاز دهی خبرگان'!$E94=4,'طیف فازی'!$B$5,'طیف فازی'!$B$6)))))</f>
        <v>0.75</v>
      </c>
      <c r="J94" s="18">
        <f>IF('امتیاز دهی خبرگان'!$E94=0,0,IF('امتیاز دهی خبرگان'!$E94=1,'طیف فازی'!$C$2,IF('امتیاز دهی خبرگان'!$E94=2,'طیف فازی'!$C$3,IF('امتیاز دهی خبرگان'!$E94=3,'طیف فازی'!$C$4,IF('امتیاز دهی خبرگان'!$E94=4,'طیف فازی'!$C$5,'طیف فازی'!$C$6)))))</f>
        <v>1</v>
      </c>
      <c r="K94" s="19">
        <f>IF('امتیاز دهی خبرگان'!$E94=0,0,IF('امتیاز دهی خبرگان'!$E94=1,'طیف فازی'!$D$2,IF('امتیاز دهی خبرگان'!$E94=2,'طیف فازی'!$D$3,IF('امتیاز دهی خبرگان'!$E94=3,'طیف فازی'!$D$4,IF('امتیاز دهی خبرگان'!$E94=4,'طیف فازی'!$D$5,'طیف فازی'!$D$6)))))</f>
        <v>1</v>
      </c>
      <c r="L94" s="17">
        <f>IF('امتیاز دهی خبرگان'!$F94=0,0,IF('امتیاز دهی خبرگان'!$F94=1,'طیف فازی'!$B$2,IF('امتیاز دهی خبرگان'!$F94=2,'طیف فازی'!$B$3,IF('امتیاز دهی خبرگان'!$F94=3,'طیف فازی'!$B$4,IF('امتیاز دهی خبرگان'!$F94=4,'طیف فازی'!$B$5,'طیف فازی'!$B$6)))))</f>
        <v>0.75</v>
      </c>
      <c r="M94" s="18">
        <f>IF('امتیاز دهی خبرگان'!$F94=0,0,IF('امتیاز دهی خبرگان'!$F94=1,'طیف فازی'!$C$2,IF('امتیاز دهی خبرگان'!$F94=2,'طیف فازی'!$C$3,IF('امتیاز دهی خبرگان'!$F94=3,'طیف فازی'!$C$4,IF('امتیاز دهی خبرگان'!$F94=4,'طیف فازی'!$C$5,'طیف فازی'!$C$6)))))</f>
        <v>1</v>
      </c>
      <c r="N94" s="19">
        <f>IF('امتیاز دهی خبرگان'!$F94=0,0,IF('امتیاز دهی خبرگان'!$F94=1,'طیف فازی'!$D$2,IF('امتیاز دهی خبرگان'!$F94=2,'طیف فازی'!$D$3,IF('امتیاز دهی خبرگان'!$F94=3,'طیف فازی'!$D$4,IF('امتیاز دهی خبرگان'!$F94=4,'طیف فازی'!$D$5,'طیف فازی'!$D$6)))))</f>
        <v>1</v>
      </c>
      <c r="O94" s="17">
        <f>IF('امتیاز دهی خبرگان'!$G94=0,0,IF('امتیاز دهی خبرگان'!$G94=1,'طیف فازی'!$B$2,IF('امتیاز دهی خبرگان'!$G94=2,'طیف فازی'!$B$3,IF('امتیاز دهی خبرگان'!$G94=3,'طیف فازی'!$B$4,IF('امتیاز دهی خبرگان'!$G94=4,'طیف فازی'!$B$5,'طیف فازی'!$B$6)))))</f>
        <v>0.75</v>
      </c>
      <c r="P94" s="18">
        <f>IF('امتیاز دهی خبرگان'!$G94=0,0,IF('امتیاز دهی خبرگان'!$G94=1,'طیف فازی'!$C$2,IF('امتیاز دهی خبرگان'!$G94=2,'طیف فازی'!$C$3,IF('امتیاز دهی خبرگان'!$G94=3,'طیف فازی'!$C$4,IF('امتیاز دهی خبرگان'!$G94=4,'طیف فازی'!$C$5,'طیف فازی'!$C$6)))))</f>
        <v>1</v>
      </c>
      <c r="Q94" s="19">
        <f>IF('امتیاز دهی خبرگان'!$G94=0,0,IF('امتیاز دهی خبرگان'!$G94=1,'طیف فازی'!$D$2,IF('امتیاز دهی خبرگان'!$G94=2,'طیف فازی'!$D$3,IF('امتیاز دهی خبرگان'!$G94=3,'طیف فازی'!$D$4,IF('امتیاز دهی خبرگان'!$G94=4,'طیف فازی'!$D$5,'طیف فازی'!$D$6)))))</f>
        <v>1</v>
      </c>
      <c r="R94" s="17">
        <f>IF('امتیاز دهی خبرگان'!$H94=0,0,IF('امتیاز دهی خبرگان'!$H94=1,'طیف فازی'!$B$2,IF('امتیاز دهی خبرگان'!$H94=2,'طیف فازی'!$B$3,IF('امتیاز دهی خبرگان'!$H94=3,'طیف فازی'!$B$4,IF('امتیاز دهی خبرگان'!$H94=4,'طیف فازی'!$B$5,'طیف فازی'!$B$6)))))</f>
        <v>0.25</v>
      </c>
      <c r="S94" s="18">
        <f>IF('امتیاز دهی خبرگان'!$H94=0,0,IF('امتیاز دهی خبرگان'!$H94=1,'طیف فازی'!$C$2,IF('امتیاز دهی خبرگان'!$H94=2,'طیف فازی'!$C$3,IF('امتیاز دهی خبرگان'!$H94=3,'طیف فازی'!$C$4,IF('امتیاز دهی خبرگان'!$H94=4,'طیف فازی'!$C$5,'طیف فازی'!$C$6)))))</f>
        <v>0.5</v>
      </c>
      <c r="T94" s="19">
        <f>IF('امتیاز دهی خبرگان'!$H94=0,0,IF('امتیاز دهی خبرگان'!$H94=1,'طیف فازی'!$D$2,IF('امتیاز دهی خبرگان'!$H94=2,'طیف فازی'!$D$3,IF('امتیاز دهی خبرگان'!$H94=3,'طیف فازی'!$D$4,IF('امتیاز دهی خبرگان'!$H94=4,'طیف فازی'!$D$5,'طیف فازی'!$D$6)))))</f>
        <v>0.75</v>
      </c>
      <c r="U94" s="17">
        <f>IF('امتیاز دهی خبرگان'!$I94=0,0,IF('امتیاز دهی خبرگان'!$I94=1,'طیف فازی'!$B$2,IF('امتیاز دهی خبرگان'!$I94=2,'طیف فازی'!$B$3,IF('امتیاز دهی خبرگان'!$I94=3,'طیف فازی'!$B$4,IF('امتیاز دهی خبرگان'!$I94=4,'طیف فازی'!$B$5,'طیف فازی'!$B$6)))))</f>
        <v>0.25</v>
      </c>
      <c r="V94" s="18">
        <f>IF('امتیاز دهی خبرگان'!$I94=0,0,IF('امتیاز دهی خبرگان'!$I94=1,'طیف فازی'!$C$2,IF('امتیاز دهی خبرگان'!$I94=2,'طیف فازی'!$C$3,IF('امتیاز دهی خبرگان'!$I94=3,'طیف فازی'!$C$4,IF('امتیاز دهی خبرگان'!$I94=4,'طیف فازی'!$C$5,'طیف فازی'!$C$6)))))</f>
        <v>0.5</v>
      </c>
      <c r="W94" s="19">
        <f>IF('امتیاز دهی خبرگان'!$I94=0,0,IF('امتیاز دهی خبرگان'!$I94=1,'طیف فازی'!$D$2,IF('امتیاز دهی خبرگان'!$I94=2,'طیف فازی'!$D$3,IF('امتیاز دهی خبرگان'!$I94=3,'طیف فازی'!$D$4,IF('امتیاز دهی خبرگان'!$I94=4,'طیف فازی'!$D$5,'طیف فازی'!$D$6)))))</f>
        <v>0.75</v>
      </c>
      <c r="X94" s="17">
        <f>IF('امتیاز دهی خبرگان'!$J94=0,0,IF('امتیاز دهی خبرگان'!$J94=1,'طیف فازی'!$B$2,IF('امتیاز دهی خبرگان'!$J94=2,'طیف فازی'!$B$3,IF('امتیاز دهی خبرگان'!$J94=3,'طیف فازی'!$B$4,IF('امتیاز دهی خبرگان'!$J94=4,'طیف فازی'!$B$5,'طیف فازی'!$B$6)))))</f>
        <v>0.5</v>
      </c>
      <c r="Y94" s="18">
        <f>IF('امتیاز دهی خبرگان'!$J94=0,0,IF('امتیاز دهی خبرگان'!$J94=1,'طیف فازی'!$C$2,IF('امتیاز دهی خبرگان'!$J94=2,'طیف فازی'!$C$3,IF('امتیاز دهی خبرگان'!$J94=3,'طیف فازی'!$C$4,IF('امتیاز دهی خبرگان'!$J94=4,'طیف فازی'!$C$5,'طیف فازی'!$C$6)))))</f>
        <v>0.75</v>
      </c>
      <c r="Z94" s="19">
        <f>IF('امتیاز دهی خبرگان'!$J94=0,0,IF('امتیاز دهی خبرگان'!$J94=1,'طیف فازی'!$D$2,IF('امتیاز دهی خبرگان'!$J94=2,'طیف فازی'!$D$3,IF('امتیاز دهی خبرگان'!$J94=3,'طیف فازی'!$D$4,IF('امتیاز دهی خبرگان'!$J94=4,'طیف فازی'!$D$5,'طیف فازی'!$D$6)))))</f>
        <v>1</v>
      </c>
      <c r="AA94" s="17">
        <f>IF('امتیاز دهی خبرگان'!$K94=0,0,IF('امتیاز دهی خبرگان'!$K94=1,'طیف فازی'!$B$2,IF('امتیاز دهی خبرگان'!$K94=2,'طیف فازی'!$B$3,IF('امتیاز دهی خبرگان'!$K94=3,'طیف فازی'!$B$4,IF('امتیاز دهی خبرگان'!$K94=4,'طیف فازی'!$B$5,'طیف فازی'!$B$6)))))</f>
        <v>0.75</v>
      </c>
      <c r="AB94" s="18">
        <f>IF('امتیاز دهی خبرگان'!$K94=0,0,IF('امتیاز دهی خبرگان'!$K94=1,'طیف فازی'!$C$2,IF('امتیاز دهی خبرگان'!$K94=2,'طیف فازی'!$C$3,IF('امتیاز دهی خبرگان'!$K94=3,'طیف فازی'!$C$4,IF('امتیاز دهی خبرگان'!$K94=4,'طیف فازی'!$C$5,'طیف فازی'!$C$6)))))</f>
        <v>1</v>
      </c>
      <c r="AC94" s="19">
        <f>IF('امتیاز دهی خبرگان'!$K94=0,0,IF('امتیاز دهی خبرگان'!$K94=1,'طیف فازی'!$D$2,IF('امتیاز دهی خبرگان'!$K94=2,'طیف فازی'!$D$3,IF('امتیاز دهی خبرگان'!$K94=3,'طیف فازی'!$D$4,IF('امتیاز دهی خبرگان'!$K94=4,'طیف فازی'!$D$5,'طیف فازی'!$D$6)))))</f>
        <v>1</v>
      </c>
      <c r="AD94" s="17">
        <f>IF('امتیاز دهی خبرگان'!$L94=0,0,IF('امتیاز دهی خبرگان'!$L94=1,'طیف فازی'!$B$2,IF('امتیاز دهی خبرگان'!$L94=2,'طیف فازی'!$B$3,IF('امتیاز دهی خبرگان'!$L94=3,'طیف فازی'!$B$4,IF('امتیاز دهی خبرگان'!$L94=4,'طیف فازی'!$B$5,'طیف فازی'!$B$6)))))</f>
        <v>0.25</v>
      </c>
      <c r="AE94" s="18">
        <f>IF('امتیاز دهی خبرگان'!$L94=0,0,IF('امتیاز دهی خبرگان'!$L94=1,'طیف فازی'!$C$2,IF('امتیاز دهی خبرگان'!$L94=2,'طیف فازی'!$C$3,IF('امتیاز دهی خبرگان'!$L94=3,'طیف فازی'!$C$4,IF('امتیاز دهی خبرگان'!$L94=4,'طیف فازی'!$C$5,'طیف فازی'!$C$6)))))</f>
        <v>0.5</v>
      </c>
      <c r="AF94" s="19">
        <f>IF('امتیاز دهی خبرگان'!$L94=0,0,IF('امتیاز دهی خبرگان'!$L94=1,'طیف فازی'!$D$2,IF('امتیاز دهی خبرگان'!$L94=2,'طیف فازی'!$D$3,IF('امتیاز دهی خبرگان'!$L94=3,'طیف فازی'!$D$4,IF('امتیاز دهی خبرگان'!$L94=4,'طیف فازی'!$D$5,'طیف فازی'!$D$6)))))</f>
        <v>0.75</v>
      </c>
      <c r="AG94" s="17">
        <f>IF('امتیاز دهی خبرگان'!$M94=0,0,IF('امتیاز دهی خبرگان'!$M94=1,'طیف فازی'!$B$2,IF('امتیاز دهی خبرگان'!$M94=2,'طیف فازی'!$B$3,IF('امتیاز دهی خبرگان'!$M94=3,'طیف فازی'!$B$4,IF('امتیاز دهی خبرگان'!$M94=4,'طیف فازی'!$B$5,'طیف فازی'!$B$6)))))</f>
        <v>0.5</v>
      </c>
      <c r="AH94" s="18">
        <f>IF('امتیاز دهی خبرگان'!$M94=0,0,IF('امتیاز دهی خبرگان'!$M94=1,'طیف فازی'!$C$2,IF('امتیاز دهی خبرگان'!$M94=2,'طیف فازی'!$C$3,IF('امتیاز دهی خبرگان'!$M94=3,'طیف فازی'!$C$4,IF('امتیاز دهی خبرگان'!$M94=4,'طیف فازی'!$C$5,'طیف فازی'!$C$6)))))</f>
        <v>0.75</v>
      </c>
      <c r="AI94" s="19">
        <f>IF('امتیاز دهی خبرگان'!$M94=0,0,IF('امتیاز دهی خبرگان'!$M94=1,'طیف فازی'!$D$2,IF('امتیاز دهی خبرگان'!$M94=2,'طیف فازی'!$D$3,IF('امتیاز دهی خبرگان'!$M94=3,'طیف فازی'!$D$4,IF('امتیاز دهی خبرگان'!$M94=4,'طیف فازی'!$D$5,'طیف فازی'!$D$6)))))</f>
        <v>1</v>
      </c>
      <c r="AJ94" s="17">
        <f>IF('امتیاز دهی خبرگان'!$N94=0,0,IF('امتیاز دهی خبرگان'!$N94=1,'طیف فازی'!$B$2,IF('امتیاز دهی خبرگان'!$N94=2,'طیف فازی'!$B$3,IF('امتیاز دهی خبرگان'!$N94=3,'طیف فازی'!$B$4,IF('امتیاز دهی خبرگان'!$N94=4,'طیف فازی'!$B$5,'طیف فازی'!$B$6)))))</f>
        <v>0.75</v>
      </c>
      <c r="AK94" s="18">
        <f>IF('امتیاز دهی خبرگان'!$N94=0,0,IF('امتیاز دهی خبرگان'!$N94=1,'طیف فازی'!$C$2,IF('امتیاز دهی خبرگان'!$N94=2,'طیف فازی'!$C$3,IF('امتیاز دهی خبرگان'!$N94=3,'طیف فازی'!$C$4,IF('امتیاز دهی خبرگان'!$N94=4,'طیف فازی'!$C$5,'طیف فازی'!$C$6)))))</f>
        <v>1</v>
      </c>
      <c r="AL94" s="19">
        <f>IF('امتیاز دهی خبرگان'!$N94=0,0,IF('امتیاز دهی خبرگان'!$N94=1,'طیف فازی'!$D$2,IF('امتیاز دهی خبرگان'!$N94=2,'طیف فازی'!$D$3,IF('امتیاز دهی خبرگان'!$N94=3,'طیف فازی'!$D$4,IF('امتیاز دهی خبرگان'!$N94=4,'طیف فازی'!$D$5,'طیف فازی'!$D$6)))))</f>
        <v>1</v>
      </c>
      <c r="AM94" s="23">
        <f t="shared" si="9"/>
        <v>6.5</v>
      </c>
      <c r="AN94" s="23">
        <f t="shared" si="10"/>
        <v>9.5</v>
      </c>
      <c r="AO94" s="24">
        <f t="shared" si="11"/>
        <v>11</v>
      </c>
      <c r="AP94" s="25">
        <f t="shared" si="12"/>
        <v>0.54166666666666663</v>
      </c>
      <c r="AQ94" s="23">
        <f t="shared" si="13"/>
        <v>0.79166666666666663</v>
      </c>
      <c r="AR94" s="24">
        <f t="shared" si="14"/>
        <v>0.91666666666666663</v>
      </c>
      <c r="AS94" s="24">
        <f t="shared" si="15"/>
        <v>0.75</v>
      </c>
      <c r="AT94" s="24" t="str">
        <f t="shared" si="16"/>
        <v>Pass</v>
      </c>
    </row>
    <row r="95" spans="2:46" ht="23.25" customHeight="1" thickBot="1" x14ac:dyDescent="0.85">
      <c r="B95" s="2">
        <v>91</v>
      </c>
      <c r="C95" s="17">
        <f>IF('امتیاز دهی خبرگان'!$C95=0,0,IF('امتیاز دهی خبرگان'!$C95=1,'طیف فازی'!$B$2,IF('امتیاز دهی خبرگان'!$C95=2,'طیف فازی'!$B$3,IF('امتیاز دهی خبرگان'!$C95=3,'طیف فازی'!$B$4,IF('امتیاز دهی خبرگان'!$C95=4,'طیف فازی'!$B$5,'طیف فازی'!$B$6)))))</f>
        <v>0.75</v>
      </c>
      <c r="D95" s="18">
        <f>IF('امتیاز دهی خبرگان'!$C95=0,0,IF('امتیاز دهی خبرگان'!$C95=1,'طیف فازی'!$C$2,IF('امتیاز دهی خبرگان'!$C95=2,'طیف فازی'!$C$3,IF('امتیاز دهی خبرگان'!$C95=3,'طیف فازی'!$C$4,IF('امتیاز دهی خبرگان'!$C95=4,'طیف فازی'!$C$5,'طیف فازی'!$C$6)))))</f>
        <v>1</v>
      </c>
      <c r="E95" s="19">
        <f>IF('امتیاز دهی خبرگان'!$C95=0,0,IF('امتیاز دهی خبرگان'!$C95=1,'طیف فازی'!$D$2,IF('امتیاز دهی خبرگان'!$C95=2,'طیف فازی'!$D$3,IF('امتیاز دهی خبرگان'!$C95=3,'طیف فازی'!$D$4,IF('امتیاز دهی خبرگان'!$C95=4,'طیف فازی'!$D$5,'طیف فازی'!$D$6)))))</f>
        <v>1</v>
      </c>
      <c r="F95" s="20">
        <f>IF('امتیاز دهی خبرگان'!$D95=0,0,IF('امتیاز دهی خبرگان'!$D95=1,'طیف فازی'!$B$2,IF('امتیاز دهی خبرگان'!$D95=2,'طیف فازی'!$B$3,IF('امتیاز دهی خبرگان'!$D95=3,'طیف فازی'!$B$4,IF('امتیاز دهی خبرگان'!$D95=4,'طیف فازی'!$B$5,'طیف فازی'!$B$6)))))</f>
        <v>0.5</v>
      </c>
      <c r="G95" s="21">
        <f>IF('امتیاز دهی خبرگان'!$D95=0,0,IF('امتیاز دهی خبرگان'!$D95=1,'طیف فازی'!$D$2,IF('امتیاز دهی خبرگان'!$D95=2,'طیف فازی'!$C$3,IF('امتیاز دهی خبرگان'!$D95=3,'طیف فازی'!$C$4,IF('امتیاز دهی خبرگان'!$D95=4,'طیف فازی'!$C$5,'طیف فازی'!$C$6)))))</f>
        <v>0.75</v>
      </c>
      <c r="H95" s="22">
        <f>IF('امتیاز دهی خبرگان'!$D95=0,0,IF('امتیاز دهی خبرگان'!$D95=1,'طیف فازی'!$D$2,IF('امتیاز دهی خبرگان'!$D95=2,'طیف فازی'!$D$3,IF('امتیاز دهی خبرگان'!$D95=3,'طیف فازی'!$D$4,IF('امتیاز دهی خبرگان'!$D95=4,'طیف فازی'!$D$5,'طیف فازی'!$D$6)))))</f>
        <v>1</v>
      </c>
      <c r="I95" s="17">
        <f>IF('امتیاز دهی خبرگان'!$E95=0,0,IF('امتیاز دهی خبرگان'!$E95=1,'طیف فازی'!$B$2,IF('امتیاز دهی خبرگان'!$E95=2,'طیف فازی'!$B$3,IF('امتیاز دهی خبرگان'!$E95=3,'طیف فازی'!$B$4,IF('امتیاز دهی خبرگان'!$E95=4,'طیف فازی'!$B$5,'طیف فازی'!$B$6)))))</f>
        <v>0.25</v>
      </c>
      <c r="J95" s="18">
        <f>IF('امتیاز دهی خبرگان'!$E95=0,0,IF('امتیاز دهی خبرگان'!$E95=1,'طیف فازی'!$C$2,IF('امتیاز دهی خبرگان'!$E95=2,'طیف فازی'!$C$3,IF('امتیاز دهی خبرگان'!$E95=3,'طیف فازی'!$C$4,IF('امتیاز دهی خبرگان'!$E95=4,'طیف فازی'!$C$5,'طیف فازی'!$C$6)))))</f>
        <v>0.5</v>
      </c>
      <c r="K95" s="19">
        <f>IF('امتیاز دهی خبرگان'!$E95=0,0,IF('امتیاز دهی خبرگان'!$E95=1,'طیف فازی'!$D$2,IF('امتیاز دهی خبرگان'!$E95=2,'طیف فازی'!$D$3,IF('امتیاز دهی خبرگان'!$E95=3,'طیف فازی'!$D$4,IF('امتیاز دهی خبرگان'!$E95=4,'طیف فازی'!$D$5,'طیف فازی'!$D$6)))))</f>
        <v>0.75</v>
      </c>
      <c r="L95" s="17">
        <f>IF('امتیاز دهی خبرگان'!$F95=0,0,IF('امتیاز دهی خبرگان'!$F95=1,'طیف فازی'!$B$2,IF('امتیاز دهی خبرگان'!$F95=2,'طیف فازی'!$B$3,IF('امتیاز دهی خبرگان'!$F95=3,'طیف فازی'!$B$4,IF('امتیاز دهی خبرگان'!$F95=4,'طیف فازی'!$B$5,'طیف فازی'!$B$6)))))</f>
        <v>0.75</v>
      </c>
      <c r="M95" s="18">
        <f>IF('امتیاز دهی خبرگان'!$F95=0,0,IF('امتیاز دهی خبرگان'!$F95=1,'طیف فازی'!$C$2,IF('امتیاز دهی خبرگان'!$F95=2,'طیف فازی'!$C$3,IF('امتیاز دهی خبرگان'!$F95=3,'طیف فازی'!$C$4,IF('امتیاز دهی خبرگان'!$F95=4,'طیف فازی'!$C$5,'طیف فازی'!$C$6)))))</f>
        <v>1</v>
      </c>
      <c r="N95" s="19">
        <f>IF('امتیاز دهی خبرگان'!$F95=0,0,IF('امتیاز دهی خبرگان'!$F95=1,'طیف فازی'!$D$2,IF('امتیاز دهی خبرگان'!$F95=2,'طیف فازی'!$D$3,IF('امتیاز دهی خبرگان'!$F95=3,'طیف فازی'!$D$4,IF('امتیاز دهی خبرگان'!$F95=4,'طیف فازی'!$D$5,'طیف فازی'!$D$6)))))</f>
        <v>1</v>
      </c>
      <c r="O95" s="17">
        <f>IF('امتیاز دهی خبرگان'!$G95=0,0,IF('امتیاز دهی خبرگان'!$G95=1,'طیف فازی'!$B$2,IF('امتیاز دهی خبرگان'!$G95=2,'طیف فازی'!$B$3,IF('امتیاز دهی خبرگان'!$G95=3,'طیف فازی'!$B$4,IF('امتیاز دهی خبرگان'!$G95=4,'طیف فازی'!$B$5,'طیف فازی'!$B$6)))))</f>
        <v>0.5</v>
      </c>
      <c r="P95" s="18">
        <f>IF('امتیاز دهی خبرگان'!$G95=0,0,IF('امتیاز دهی خبرگان'!$G95=1,'طیف فازی'!$C$2,IF('امتیاز دهی خبرگان'!$G95=2,'طیف فازی'!$C$3,IF('امتیاز دهی خبرگان'!$G95=3,'طیف فازی'!$C$4,IF('امتیاز دهی خبرگان'!$G95=4,'طیف فازی'!$C$5,'طیف فازی'!$C$6)))))</f>
        <v>0.75</v>
      </c>
      <c r="Q95" s="19">
        <f>IF('امتیاز دهی خبرگان'!$G95=0,0,IF('امتیاز دهی خبرگان'!$G95=1,'طیف فازی'!$D$2,IF('امتیاز دهی خبرگان'!$G95=2,'طیف فازی'!$D$3,IF('امتیاز دهی خبرگان'!$G95=3,'طیف فازی'!$D$4,IF('امتیاز دهی خبرگان'!$G95=4,'طیف فازی'!$D$5,'طیف فازی'!$D$6)))))</f>
        <v>1</v>
      </c>
      <c r="R95" s="17">
        <f>IF('امتیاز دهی خبرگان'!$H95=0,0,IF('امتیاز دهی خبرگان'!$H95=1,'طیف فازی'!$B$2,IF('امتیاز دهی خبرگان'!$H95=2,'طیف فازی'!$B$3,IF('امتیاز دهی خبرگان'!$H95=3,'طیف فازی'!$B$4,IF('امتیاز دهی خبرگان'!$H95=4,'طیف فازی'!$B$5,'طیف فازی'!$B$6)))))</f>
        <v>0.5</v>
      </c>
      <c r="S95" s="18">
        <f>IF('امتیاز دهی خبرگان'!$H95=0,0,IF('امتیاز دهی خبرگان'!$H95=1,'طیف فازی'!$C$2,IF('امتیاز دهی خبرگان'!$H95=2,'طیف فازی'!$C$3,IF('امتیاز دهی خبرگان'!$H95=3,'طیف فازی'!$C$4,IF('امتیاز دهی خبرگان'!$H95=4,'طیف فازی'!$C$5,'طیف فازی'!$C$6)))))</f>
        <v>0.75</v>
      </c>
      <c r="T95" s="19">
        <f>IF('امتیاز دهی خبرگان'!$H95=0,0,IF('امتیاز دهی خبرگان'!$H95=1,'طیف فازی'!$D$2,IF('امتیاز دهی خبرگان'!$H95=2,'طیف فازی'!$D$3,IF('امتیاز دهی خبرگان'!$H95=3,'طیف فازی'!$D$4,IF('امتیاز دهی خبرگان'!$H95=4,'طیف فازی'!$D$5,'طیف فازی'!$D$6)))))</f>
        <v>1</v>
      </c>
      <c r="U95" s="17">
        <f>IF('امتیاز دهی خبرگان'!$I95=0,0,IF('امتیاز دهی خبرگان'!$I95=1,'طیف فازی'!$B$2,IF('امتیاز دهی خبرگان'!$I95=2,'طیف فازی'!$B$3,IF('امتیاز دهی خبرگان'!$I95=3,'طیف فازی'!$B$4,IF('امتیاز دهی خبرگان'!$I95=4,'طیف فازی'!$B$5,'طیف فازی'!$B$6)))))</f>
        <v>0.75</v>
      </c>
      <c r="V95" s="18">
        <f>IF('امتیاز دهی خبرگان'!$I95=0,0,IF('امتیاز دهی خبرگان'!$I95=1,'طیف فازی'!$C$2,IF('امتیاز دهی خبرگان'!$I95=2,'طیف فازی'!$C$3,IF('امتیاز دهی خبرگان'!$I95=3,'طیف فازی'!$C$4,IF('امتیاز دهی خبرگان'!$I95=4,'طیف فازی'!$C$5,'طیف فازی'!$C$6)))))</f>
        <v>1</v>
      </c>
      <c r="W95" s="19">
        <f>IF('امتیاز دهی خبرگان'!$I95=0,0,IF('امتیاز دهی خبرگان'!$I95=1,'طیف فازی'!$D$2,IF('امتیاز دهی خبرگان'!$I95=2,'طیف فازی'!$D$3,IF('امتیاز دهی خبرگان'!$I95=3,'طیف فازی'!$D$4,IF('امتیاز دهی خبرگان'!$I95=4,'طیف فازی'!$D$5,'طیف فازی'!$D$6)))))</f>
        <v>1</v>
      </c>
      <c r="X95" s="17">
        <f>IF('امتیاز دهی خبرگان'!$J95=0,0,IF('امتیاز دهی خبرگان'!$J95=1,'طیف فازی'!$B$2,IF('امتیاز دهی خبرگان'!$J95=2,'طیف فازی'!$B$3,IF('امتیاز دهی خبرگان'!$J95=3,'طیف فازی'!$B$4,IF('امتیاز دهی خبرگان'!$J95=4,'طیف فازی'!$B$5,'طیف فازی'!$B$6)))))</f>
        <v>0.5</v>
      </c>
      <c r="Y95" s="18">
        <f>IF('امتیاز دهی خبرگان'!$J95=0,0,IF('امتیاز دهی خبرگان'!$J95=1,'طیف فازی'!$C$2,IF('امتیاز دهی خبرگان'!$J95=2,'طیف فازی'!$C$3,IF('امتیاز دهی خبرگان'!$J95=3,'طیف فازی'!$C$4,IF('امتیاز دهی خبرگان'!$J95=4,'طیف فازی'!$C$5,'طیف فازی'!$C$6)))))</f>
        <v>0.75</v>
      </c>
      <c r="Z95" s="19">
        <f>IF('امتیاز دهی خبرگان'!$J95=0,0,IF('امتیاز دهی خبرگان'!$J95=1,'طیف فازی'!$D$2,IF('امتیاز دهی خبرگان'!$J95=2,'طیف فازی'!$D$3,IF('امتیاز دهی خبرگان'!$J95=3,'طیف فازی'!$D$4,IF('امتیاز دهی خبرگان'!$J95=4,'طیف فازی'!$D$5,'طیف فازی'!$D$6)))))</f>
        <v>1</v>
      </c>
      <c r="AA95" s="17">
        <f>IF('امتیاز دهی خبرگان'!$K95=0,0,IF('امتیاز دهی خبرگان'!$K95=1,'طیف فازی'!$B$2,IF('امتیاز دهی خبرگان'!$K95=2,'طیف فازی'!$B$3,IF('امتیاز دهی خبرگان'!$K95=3,'طیف فازی'!$B$4,IF('امتیاز دهی خبرگان'!$K95=4,'طیف فازی'!$B$5,'طیف فازی'!$B$6)))))</f>
        <v>0.5</v>
      </c>
      <c r="AB95" s="18">
        <f>IF('امتیاز دهی خبرگان'!$K95=0,0,IF('امتیاز دهی خبرگان'!$K95=1,'طیف فازی'!$C$2,IF('امتیاز دهی خبرگان'!$K95=2,'طیف فازی'!$C$3,IF('امتیاز دهی خبرگان'!$K95=3,'طیف فازی'!$C$4,IF('امتیاز دهی خبرگان'!$K95=4,'طیف فازی'!$C$5,'طیف فازی'!$C$6)))))</f>
        <v>0.75</v>
      </c>
      <c r="AC95" s="19">
        <f>IF('امتیاز دهی خبرگان'!$K95=0,0,IF('امتیاز دهی خبرگان'!$K95=1,'طیف فازی'!$D$2,IF('امتیاز دهی خبرگان'!$K95=2,'طیف فازی'!$D$3,IF('امتیاز دهی خبرگان'!$K95=3,'طیف فازی'!$D$4,IF('امتیاز دهی خبرگان'!$K95=4,'طیف فازی'!$D$5,'طیف فازی'!$D$6)))))</f>
        <v>1</v>
      </c>
      <c r="AD95" s="17">
        <f>IF('امتیاز دهی خبرگان'!$L95=0,0,IF('امتیاز دهی خبرگان'!$L95=1,'طیف فازی'!$B$2,IF('امتیاز دهی خبرگان'!$L95=2,'طیف فازی'!$B$3,IF('امتیاز دهی خبرگان'!$L95=3,'طیف فازی'!$B$4,IF('امتیاز دهی خبرگان'!$L95=4,'طیف فازی'!$B$5,'طیف فازی'!$B$6)))))</f>
        <v>0.5</v>
      </c>
      <c r="AE95" s="18">
        <f>IF('امتیاز دهی خبرگان'!$L95=0,0,IF('امتیاز دهی خبرگان'!$L95=1,'طیف فازی'!$C$2,IF('امتیاز دهی خبرگان'!$L95=2,'طیف فازی'!$C$3,IF('امتیاز دهی خبرگان'!$L95=3,'طیف فازی'!$C$4,IF('امتیاز دهی خبرگان'!$L95=4,'طیف فازی'!$C$5,'طیف فازی'!$C$6)))))</f>
        <v>0.75</v>
      </c>
      <c r="AF95" s="19">
        <f>IF('امتیاز دهی خبرگان'!$L95=0,0,IF('امتیاز دهی خبرگان'!$L95=1,'طیف فازی'!$D$2,IF('امتیاز دهی خبرگان'!$L95=2,'طیف فازی'!$D$3,IF('امتیاز دهی خبرگان'!$L95=3,'طیف فازی'!$D$4,IF('امتیاز دهی خبرگان'!$L95=4,'طیف فازی'!$D$5,'طیف فازی'!$D$6)))))</f>
        <v>1</v>
      </c>
      <c r="AG95" s="17">
        <f>IF('امتیاز دهی خبرگان'!$M95=0,0,IF('امتیاز دهی خبرگان'!$M95=1,'طیف فازی'!$B$2,IF('امتیاز دهی خبرگان'!$M95=2,'طیف فازی'!$B$3,IF('امتیاز دهی خبرگان'!$M95=3,'طیف فازی'!$B$4,IF('امتیاز دهی خبرگان'!$M95=4,'طیف فازی'!$B$5,'طیف فازی'!$B$6)))))</f>
        <v>0.25</v>
      </c>
      <c r="AH95" s="18">
        <f>IF('امتیاز دهی خبرگان'!$M95=0,0,IF('امتیاز دهی خبرگان'!$M95=1,'طیف فازی'!$C$2,IF('امتیاز دهی خبرگان'!$M95=2,'طیف فازی'!$C$3,IF('امتیاز دهی خبرگان'!$M95=3,'طیف فازی'!$C$4,IF('امتیاز دهی خبرگان'!$M95=4,'طیف فازی'!$C$5,'طیف فازی'!$C$6)))))</f>
        <v>0.5</v>
      </c>
      <c r="AI95" s="19">
        <f>IF('امتیاز دهی خبرگان'!$M95=0,0,IF('امتیاز دهی خبرگان'!$M95=1,'طیف فازی'!$D$2,IF('امتیاز دهی خبرگان'!$M95=2,'طیف فازی'!$D$3,IF('امتیاز دهی خبرگان'!$M95=3,'طیف فازی'!$D$4,IF('امتیاز دهی خبرگان'!$M95=4,'طیف فازی'!$D$5,'طیف فازی'!$D$6)))))</f>
        <v>0.75</v>
      </c>
      <c r="AJ95" s="17">
        <f>IF('امتیاز دهی خبرگان'!$N95=0,0,IF('امتیاز دهی خبرگان'!$N95=1,'طیف فازی'!$B$2,IF('امتیاز دهی خبرگان'!$N95=2,'طیف فازی'!$B$3,IF('امتیاز دهی خبرگان'!$N95=3,'طیف فازی'!$B$4,IF('امتیاز دهی خبرگان'!$N95=4,'طیف فازی'!$B$5,'طیف فازی'!$B$6)))))</f>
        <v>0.75</v>
      </c>
      <c r="AK95" s="18">
        <f>IF('امتیاز دهی خبرگان'!$N95=0,0,IF('امتیاز دهی خبرگان'!$N95=1,'طیف فازی'!$C$2,IF('امتیاز دهی خبرگان'!$N95=2,'طیف فازی'!$C$3,IF('امتیاز دهی خبرگان'!$N95=3,'طیف فازی'!$C$4,IF('امتیاز دهی خبرگان'!$N95=4,'طیف فازی'!$C$5,'طیف فازی'!$C$6)))))</f>
        <v>1</v>
      </c>
      <c r="AL95" s="19">
        <f>IF('امتیاز دهی خبرگان'!$N95=0,0,IF('امتیاز دهی خبرگان'!$N95=1,'طیف فازی'!$D$2,IF('امتیاز دهی خبرگان'!$N95=2,'طیف فازی'!$D$3,IF('امتیاز دهی خبرگان'!$N95=3,'طیف فازی'!$D$4,IF('امتیاز دهی خبرگان'!$N95=4,'طیف فازی'!$D$5,'طیف فازی'!$D$6)))))</f>
        <v>1</v>
      </c>
      <c r="AM95" s="23">
        <f t="shared" si="9"/>
        <v>6.5</v>
      </c>
      <c r="AN95" s="23">
        <f t="shared" si="10"/>
        <v>9.5</v>
      </c>
      <c r="AO95" s="24">
        <f t="shared" si="11"/>
        <v>11.5</v>
      </c>
      <c r="AP95" s="25">
        <f t="shared" si="12"/>
        <v>0.54166666666666663</v>
      </c>
      <c r="AQ95" s="23">
        <f t="shared" si="13"/>
        <v>0.79166666666666663</v>
      </c>
      <c r="AR95" s="24">
        <f t="shared" si="14"/>
        <v>0.95833333333333337</v>
      </c>
      <c r="AS95" s="24">
        <f t="shared" si="15"/>
        <v>0.76388888888888884</v>
      </c>
      <c r="AT95" s="24" t="str">
        <f t="shared" si="16"/>
        <v>Pass</v>
      </c>
    </row>
    <row r="96" spans="2:46" ht="23.25" customHeight="1" thickBot="1" x14ac:dyDescent="0.85">
      <c r="B96" s="2">
        <v>92</v>
      </c>
      <c r="C96" s="17">
        <f>IF('امتیاز دهی خبرگان'!$C96=0,0,IF('امتیاز دهی خبرگان'!$C96=1,'طیف فازی'!$B$2,IF('امتیاز دهی خبرگان'!$C96=2,'طیف فازی'!$B$3,IF('امتیاز دهی خبرگان'!$C96=3,'طیف فازی'!$B$4,IF('امتیاز دهی خبرگان'!$C96=4,'طیف فازی'!$B$5,'طیف فازی'!$B$6)))))</f>
        <v>0.75</v>
      </c>
      <c r="D96" s="18">
        <f>IF('امتیاز دهی خبرگان'!$C96=0,0,IF('امتیاز دهی خبرگان'!$C96=1,'طیف فازی'!$C$2,IF('امتیاز دهی خبرگان'!$C96=2,'طیف فازی'!$C$3,IF('امتیاز دهی خبرگان'!$C96=3,'طیف فازی'!$C$4,IF('امتیاز دهی خبرگان'!$C96=4,'طیف فازی'!$C$5,'طیف فازی'!$C$6)))))</f>
        <v>1</v>
      </c>
      <c r="E96" s="19">
        <f>IF('امتیاز دهی خبرگان'!$C96=0,0,IF('امتیاز دهی خبرگان'!$C96=1,'طیف فازی'!$D$2,IF('امتیاز دهی خبرگان'!$C96=2,'طیف فازی'!$D$3,IF('امتیاز دهی خبرگان'!$C96=3,'طیف فازی'!$D$4,IF('امتیاز دهی خبرگان'!$C96=4,'طیف فازی'!$D$5,'طیف فازی'!$D$6)))))</f>
        <v>1</v>
      </c>
      <c r="F96" s="20">
        <f>IF('امتیاز دهی خبرگان'!$D96=0,0,IF('امتیاز دهی خبرگان'!$D96=1,'طیف فازی'!$B$2,IF('امتیاز دهی خبرگان'!$D96=2,'طیف فازی'!$B$3,IF('امتیاز دهی خبرگان'!$D96=3,'طیف فازی'!$B$4,IF('امتیاز دهی خبرگان'!$D96=4,'طیف فازی'!$B$5,'طیف فازی'!$B$6)))))</f>
        <v>0.5</v>
      </c>
      <c r="G96" s="21">
        <f>IF('امتیاز دهی خبرگان'!$D96=0,0,IF('امتیاز دهی خبرگان'!$D96=1,'طیف فازی'!$D$2,IF('امتیاز دهی خبرگان'!$D96=2,'طیف فازی'!$C$3,IF('امتیاز دهی خبرگان'!$D96=3,'طیف فازی'!$C$4,IF('امتیاز دهی خبرگان'!$D96=4,'طیف فازی'!$C$5,'طیف فازی'!$C$6)))))</f>
        <v>0.75</v>
      </c>
      <c r="H96" s="22">
        <f>IF('امتیاز دهی خبرگان'!$D96=0,0,IF('امتیاز دهی خبرگان'!$D96=1,'طیف فازی'!$D$2,IF('امتیاز دهی خبرگان'!$D96=2,'طیف فازی'!$D$3,IF('امتیاز دهی خبرگان'!$D96=3,'طیف فازی'!$D$4,IF('امتیاز دهی خبرگان'!$D96=4,'طیف فازی'!$D$5,'طیف فازی'!$D$6)))))</f>
        <v>1</v>
      </c>
      <c r="I96" s="17">
        <f>IF('امتیاز دهی خبرگان'!$E96=0,0,IF('امتیاز دهی خبرگان'!$E96=1,'طیف فازی'!$B$2,IF('امتیاز دهی خبرگان'!$E96=2,'طیف فازی'!$B$3,IF('امتیاز دهی خبرگان'!$E96=3,'طیف فازی'!$B$4,IF('امتیاز دهی خبرگان'!$E96=4,'طیف فازی'!$B$5,'طیف فازی'!$B$6)))))</f>
        <v>0.5</v>
      </c>
      <c r="J96" s="18">
        <f>IF('امتیاز دهی خبرگان'!$E96=0,0,IF('امتیاز دهی خبرگان'!$E96=1,'طیف فازی'!$C$2,IF('امتیاز دهی خبرگان'!$E96=2,'طیف فازی'!$C$3,IF('امتیاز دهی خبرگان'!$E96=3,'طیف فازی'!$C$4,IF('امتیاز دهی خبرگان'!$E96=4,'طیف فازی'!$C$5,'طیف فازی'!$C$6)))))</f>
        <v>0.75</v>
      </c>
      <c r="K96" s="19">
        <f>IF('امتیاز دهی خبرگان'!$E96=0,0,IF('امتیاز دهی خبرگان'!$E96=1,'طیف فازی'!$D$2,IF('امتیاز دهی خبرگان'!$E96=2,'طیف فازی'!$D$3,IF('امتیاز دهی خبرگان'!$E96=3,'طیف فازی'!$D$4,IF('امتیاز دهی خبرگان'!$E96=4,'طیف فازی'!$D$5,'طیف فازی'!$D$6)))))</f>
        <v>1</v>
      </c>
      <c r="L96" s="17">
        <f>IF('امتیاز دهی خبرگان'!$F96=0,0,IF('امتیاز دهی خبرگان'!$F96=1,'طیف فازی'!$B$2,IF('امتیاز دهی خبرگان'!$F96=2,'طیف فازی'!$B$3,IF('امتیاز دهی خبرگان'!$F96=3,'طیف فازی'!$B$4,IF('امتیاز دهی خبرگان'!$F96=4,'طیف فازی'!$B$5,'طیف فازی'!$B$6)))))</f>
        <v>0.5</v>
      </c>
      <c r="M96" s="18">
        <f>IF('امتیاز دهی خبرگان'!$F96=0,0,IF('امتیاز دهی خبرگان'!$F96=1,'طیف فازی'!$C$2,IF('امتیاز دهی خبرگان'!$F96=2,'طیف فازی'!$C$3,IF('امتیاز دهی خبرگان'!$F96=3,'طیف فازی'!$C$4,IF('امتیاز دهی خبرگان'!$F96=4,'طیف فازی'!$C$5,'طیف فازی'!$C$6)))))</f>
        <v>0.75</v>
      </c>
      <c r="N96" s="19">
        <f>IF('امتیاز دهی خبرگان'!$F96=0,0,IF('امتیاز دهی خبرگان'!$F96=1,'طیف فازی'!$D$2,IF('امتیاز دهی خبرگان'!$F96=2,'طیف فازی'!$D$3,IF('امتیاز دهی خبرگان'!$F96=3,'طیف فازی'!$D$4,IF('امتیاز دهی خبرگان'!$F96=4,'طیف فازی'!$D$5,'طیف فازی'!$D$6)))))</f>
        <v>1</v>
      </c>
      <c r="O96" s="17">
        <f>IF('امتیاز دهی خبرگان'!$G96=0,0,IF('امتیاز دهی خبرگان'!$G96=1,'طیف فازی'!$B$2,IF('امتیاز دهی خبرگان'!$G96=2,'طیف فازی'!$B$3,IF('امتیاز دهی خبرگان'!$G96=3,'طیف فازی'!$B$4,IF('امتیاز دهی خبرگان'!$G96=4,'طیف فازی'!$B$5,'طیف فازی'!$B$6)))))</f>
        <v>0.75</v>
      </c>
      <c r="P96" s="18">
        <f>IF('امتیاز دهی خبرگان'!$G96=0,0,IF('امتیاز دهی خبرگان'!$G96=1,'طیف فازی'!$C$2,IF('امتیاز دهی خبرگان'!$G96=2,'طیف فازی'!$C$3,IF('امتیاز دهی خبرگان'!$G96=3,'طیف فازی'!$C$4,IF('امتیاز دهی خبرگان'!$G96=4,'طیف فازی'!$C$5,'طیف فازی'!$C$6)))))</f>
        <v>1</v>
      </c>
      <c r="Q96" s="19">
        <f>IF('امتیاز دهی خبرگان'!$G96=0,0,IF('امتیاز دهی خبرگان'!$G96=1,'طیف فازی'!$D$2,IF('امتیاز دهی خبرگان'!$G96=2,'طیف فازی'!$D$3,IF('امتیاز دهی خبرگان'!$G96=3,'طیف فازی'!$D$4,IF('امتیاز دهی خبرگان'!$G96=4,'طیف فازی'!$D$5,'طیف فازی'!$D$6)))))</f>
        <v>1</v>
      </c>
      <c r="R96" s="17">
        <f>IF('امتیاز دهی خبرگان'!$H96=0,0,IF('امتیاز دهی خبرگان'!$H96=1,'طیف فازی'!$B$2,IF('امتیاز دهی خبرگان'!$H96=2,'طیف فازی'!$B$3,IF('امتیاز دهی خبرگان'!$H96=3,'طیف فازی'!$B$4,IF('امتیاز دهی خبرگان'!$H96=4,'طیف فازی'!$B$5,'طیف فازی'!$B$6)))))</f>
        <v>0</v>
      </c>
      <c r="S96" s="18">
        <f>IF('امتیاز دهی خبرگان'!$H96=0,0,IF('امتیاز دهی خبرگان'!$H96=1,'طیف فازی'!$C$2,IF('امتیاز دهی خبرگان'!$H96=2,'طیف فازی'!$C$3,IF('امتیاز دهی خبرگان'!$H96=3,'طیف فازی'!$C$4,IF('امتیاز دهی خبرگان'!$H96=4,'طیف فازی'!$C$5,'طیف فازی'!$C$6)))))</f>
        <v>0.25</v>
      </c>
      <c r="T96" s="19">
        <f>IF('امتیاز دهی خبرگان'!$H96=0,0,IF('امتیاز دهی خبرگان'!$H96=1,'طیف فازی'!$D$2,IF('امتیاز دهی خبرگان'!$H96=2,'طیف فازی'!$D$3,IF('امتیاز دهی خبرگان'!$H96=3,'طیف فازی'!$D$4,IF('امتیاز دهی خبرگان'!$H96=4,'طیف فازی'!$D$5,'طیف فازی'!$D$6)))))</f>
        <v>0.5</v>
      </c>
      <c r="U96" s="17">
        <f>IF('امتیاز دهی خبرگان'!$I96=0,0,IF('امتیاز دهی خبرگان'!$I96=1,'طیف فازی'!$B$2,IF('امتیاز دهی خبرگان'!$I96=2,'طیف فازی'!$B$3,IF('امتیاز دهی خبرگان'!$I96=3,'طیف فازی'!$B$4,IF('امتیاز دهی خبرگان'!$I96=4,'طیف فازی'!$B$5,'طیف فازی'!$B$6)))))</f>
        <v>0.75</v>
      </c>
      <c r="V96" s="18">
        <f>IF('امتیاز دهی خبرگان'!$I96=0,0,IF('امتیاز دهی خبرگان'!$I96=1,'طیف فازی'!$C$2,IF('امتیاز دهی خبرگان'!$I96=2,'طیف فازی'!$C$3,IF('امتیاز دهی خبرگان'!$I96=3,'طیف فازی'!$C$4,IF('امتیاز دهی خبرگان'!$I96=4,'طیف فازی'!$C$5,'طیف فازی'!$C$6)))))</f>
        <v>1</v>
      </c>
      <c r="W96" s="19">
        <f>IF('امتیاز دهی خبرگان'!$I96=0,0,IF('امتیاز دهی خبرگان'!$I96=1,'طیف فازی'!$D$2,IF('امتیاز دهی خبرگان'!$I96=2,'طیف فازی'!$D$3,IF('امتیاز دهی خبرگان'!$I96=3,'طیف فازی'!$D$4,IF('امتیاز دهی خبرگان'!$I96=4,'طیف فازی'!$D$5,'طیف فازی'!$D$6)))))</f>
        <v>1</v>
      </c>
      <c r="X96" s="17">
        <f>IF('امتیاز دهی خبرگان'!$J96=0,0,IF('امتیاز دهی خبرگان'!$J96=1,'طیف فازی'!$B$2,IF('امتیاز دهی خبرگان'!$J96=2,'طیف فازی'!$B$3,IF('امتیاز دهی خبرگان'!$J96=3,'طیف فازی'!$B$4,IF('امتیاز دهی خبرگان'!$J96=4,'طیف فازی'!$B$5,'طیف فازی'!$B$6)))))</f>
        <v>0.75</v>
      </c>
      <c r="Y96" s="18">
        <f>IF('امتیاز دهی خبرگان'!$J96=0,0,IF('امتیاز دهی خبرگان'!$J96=1,'طیف فازی'!$C$2,IF('امتیاز دهی خبرگان'!$J96=2,'طیف فازی'!$C$3,IF('امتیاز دهی خبرگان'!$J96=3,'طیف فازی'!$C$4,IF('امتیاز دهی خبرگان'!$J96=4,'طیف فازی'!$C$5,'طیف فازی'!$C$6)))))</f>
        <v>1</v>
      </c>
      <c r="Z96" s="19">
        <f>IF('امتیاز دهی خبرگان'!$J96=0,0,IF('امتیاز دهی خبرگان'!$J96=1,'طیف فازی'!$D$2,IF('امتیاز دهی خبرگان'!$J96=2,'طیف فازی'!$D$3,IF('امتیاز دهی خبرگان'!$J96=3,'طیف فازی'!$D$4,IF('امتیاز دهی خبرگان'!$J96=4,'طیف فازی'!$D$5,'طیف فازی'!$D$6)))))</f>
        <v>1</v>
      </c>
      <c r="AA96" s="17">
        <f>IF('امتیاز دهی خبرگان'!$K96=0,0,IF('امتیاز دهی خبرگان'!$K96=1,'طیف فازی'!$B$2,IF('امتیاز دهی خبرگان'!$K96=2,'طیف فازی'!$B$3,IF('امتیاز دهی خبرگان'!$K96=3,'طیف فازی'!$B$4,IF('امتیاز دهی خبرگان'!$K96=4,'طیف فازی'!$B$5,'طیف فازی'!$B$6)))))</f>
        <v>0.5</v>
      </c>
      <c r="AB96" s="18">
        <f>IF('امتیاز دهی خبرگان'!$K96=0,0,IF('امتیاز دهی خبرگان'!$K96=1,'طیف فازی'!$C$2,IF('امتیاز دهی خبرگان'!$K96=2,'طیف فازی'!$C$3,IF('امتیاز دهی خبرگان'!$K96=3,'طیف فازی'!$C$4,IF('امتیاز دهی خبرگان'!$K96=4,'طیف فازی'!$C$5,'طیف فازی'!$C$6)))))</f>
        <v>0.75</v>
      </c>
      <c r="AC96" s="19">
        <f>IF('امتیاز دهی خبرگان'!$K96=0,0,IF('امتیاز دهی خبرگان'!$K96=1,'طیف فازی'!$D$2,IF('امتیاز دهی خبرگان'!$K96=2,'طیف فازی'!$D$3,IF('امتیاز دهی خبرگان'!$K96=3,'طیف فازی'!$D$4,IF('امتیاز دهی خبرگان'!$K96=4,'طیف فازی'!$D$5,'طیف فازی'!$D$6)))))</f>
        <v>1</v>
      </c>
      <c r="AD96" s="17">
        <f>IF('امتیاز دهی خبرگان'!$L96=0,0,IF('امتیاز دهی خبرگان'!$L96=1,'طیف فازی'!$B$2,IF('امتیاز دهی خبرگان'!$L96=2,'طیف فازی'!$B$3,IF('امتیاز دهی خبرگان'!$L96=3,'طیف فازی'!$B$4,IF('امتیاز دهی خبرگان'!$L96=4,'طیف فازی'!$B$5,'طیف فازی'!$B$6)))))</f>
        <v>0.75</v>
      </c>
      <c r="AE96" s="18">
        <f>IF('امتیاز دهی خبرگان'!$L96=0,0,IF('امتیاز دهی خبرگان'!$L96=1,'طیف فازی'!$C$2,IF('امتیاز دهی خبرگان'!$L96=2,'طیف فازی'!$C$3,IF('امتیاز دهی خبرگان'!$L96=3,'طیف فازی'!$C$4,IF('امتیاز دهی خبرگان'!$L96=4,'طیف فازی'!$C$5,'طیف فازی'!$C$6)))))</f>
        <v>1</v>
      </c>
      <c r="AF96" s="19">
        <f>IF('امتیاز دهی خبرگان'!$L96=0,0,IF('امتیاز دهی خبرگان'!$L96=1,'طیف فازی'!$D$2,IF('امتیاز دهی خبرگان'!$L96=2,'طیف فازی'!$D$3,IF('امتیاز دهی خبرگان'!$L96=3,'طیف فازی'!$D$4,IF('امتیاز دهی خبرگان'!$L96=4,'طیف فازی'!$D$5,'طیف فازی'!$D$6)))))</f>
        <v>1</v>
      </c>
      <c r="AG96" s="17">
        <f>IF('امتیاز دهی خبرگان'!$M96=0,0,IF('امتیاز دهی خبرگان'!$M96=1,'طیف فازی'!$B$2,IF('امتیاز دهی خبرگان'!$M96=2,'طیف فازی'!$B$3,IF('امتیاز دهی خبرگان'!$M96=3,'طیف فازی'!$B$4,IF('امتیاز دهی خبرگان'!$M96=4,'طیف فازی'!$B$5,'طیف فازی'!$B$6)))))</f>
        <v>0.75</v>
      </c>
      <c r="AH96" s="18">
        <f>IF('امتیاز دهی خبرگان'!$M96=0,0,IF('امتیاز دهی خبرگان'!$M96=1,'طیف فازی'!$C$2,IF('امتیاز دهی خبرگان'!$M96=2,'طیف فازی'!$C$3,IF('امتیاز دهی خبرگان'!$M96=3,'طیف فازی'!$C$4,IF('امتیاز دهی خبرگان'!$M96=4,'طیف فازی'!$C$5,'طیف فازی'!$C$6)))))</f>
        <v>1</v>
      </c>
      <c r="AI96" s="19">
        <f>IF('امتیاز دهی خبرگان'!$M96=0,0,IF('امتیاز دهی خبرگان'!$M96=1,'طیف فازی'!$D$2,IF('امتیاز دهی خبرگان'!$M96=2,'طیف فازی'!$D$3,IF('امتیاز دهی خبرگان'!$M96=3,'طیف فازی'!$D$4,IF('امتیاز دهی خبرگان'!$M96=4,'طیف فازی'!$D$5,'طیف فازی'!$D$6)))))</f>
        <v>1</v>
      </c>
      <c r="AJ96" s="17">
        <f>IF('امتیاز دهی خبرگان'!$N96=0,0,IF('امتیاز دهی خبرگان'!$N96=1,'طیف فازی'!$B$2,IF('امتیاز دهی خبرگان'!$N96=2,'طیف فازی'!$B$3,IF('امتیاز دهی خبرگان'!$N96=3,'طیف فازی'!$B$4,IF('امتیاز دهی خبرگان'!$N96=4,'طیف فازی'!$B$5,'طیف فازی'!$B$6)))))</f>
        <v>0.75</v>
      </c>
      <c r="AK96" s="18">
        <f>IF('امتیاز دهی خبرگان'!$N96=0,0,IF('امتیاز دهی خبرگان'!$N96=1,'طیف فازی'!$C$2,IF('امتیاز دهی خبرگان'!$N96=2,'طیف فازی'!$C$3,IF('امتیاز دهی خبرگان'!$N96=3,'طیف فازی'!$C$4,IF('امتیاز دهی خبرگان'!$N96=4,'طیف فازی'!$C$5,'طیف فازی'!$C$6)))))</f>
        <v>1</v>
      </c>
      <c r="AL96" s="19">
        <f>IF('امتیاز دهی خبرگان'!$N96=0,0,IF('امتیاز دهی خبرگان'!$N96=1,'طیف فازی'!$D$2,IF('امتیاز دهی خبرگان'!$N96=2,'طیف فازی'!$D$3,IF('امتیاز دهی خبرگان'!$N96=3,'طیف فازی'!$D$4,IF('امتیاز دهی خبرگان'!$N96=4,'طیف فازی'!$D$5,'طیف فازی'!$D$6)))))</f>
        <v>1</v>
      </c>
      <c r="AM96" s="23">
        <f t="shared" si="9"/>
        <v>7.25</v>
      </c>
      <c r="AN96" s="23">
        <f t="shared" si="10"/>
        <v>10.25</v>
      </c>
      <c r="AO96" s="24">
        <f t="shared" si="11"/>
        <v>11.5</v>
      </c>
      <c r="AP96" s="25">
        <f t="shared" si="12"/>
        <v>0.60416666666666663</v>
      </c>
      <c r="AQ96" s="23">
        <f t="shared" si="13"/>
        <v>0.85416666666666663</v>
      </c>
      <c r="AR96" s="24">
        <f t="shared" si="14"/>
        <v>0.95833333333333337</v>
      </c>
      <c r="AS96" s="24">
        <f t="shared" si="15"/>
        <v>0.80555555555555547</v>
      </c>
      <c r="AT96" s="24" t="str">
        <f t="shared" si="16"/>
        <v>Pass</v>
      </c>
    </row>
    <row r="97" spans="2:46" ht="23.25" customHeight="1" thickBot="1" x14ac:dyDescent="0.85">
      <c r="B97" s="2">
        <v>93</v>
      </c>
      <c r="C97" s="17">
        <f>IF('امتیاز دهی خبرگان'!$C97=0,0,IF('امتیاز دهی خبرگان'!$C97=1,'طیف فازی'!$B$2,IF('امتیاز دهی خبرگان'!$C97=2,'طیف فازی'!$B$3,IF('امتیاز دهی خبرگان'!$C97=3,'طیف فازی'!$B$4,IF('امتیاز دهی خبرگان'!$C97=4,'طیف فازی'!$B$5,'طیف فازی'!$B$6)))))</f>
        <v>0.75</v>
      </c>
      <c r="D97" s="18">
        <f>IF('امتیاز دهی خبرگان'!$C97=0,0,IF('امتیاز دهی خبرگان'!$C97=1,'طیف فازی'!$C$2,IF('امتیاز دهی خبرگان'!$C97=2,'طیف فازی'!$C$3,IF('امتیاز دهی خبرگان'!$C97=3,'طیف فازی'!$C$4,IF('امتیاز دهی خبرگان'!$C97=4,'طیف فازی'!$C$5,'طیف فازی'!$C$6)))))</f>
        <v>1</v>
      </c>
      <c r="E97" s="19">
        <f>IF('امتیاز دهی خبرگان'!$C97=0,0,IF('امتیاز دهی خبرگان'!$C97=1,'طیف فازی'!$D$2,IF('امتیاز دهی خبرگان'!$C97=2,'طیف فازی'!$D$3,IF('امتیاز دهی خبرگان'!$C97=3,'طیف فازی'!$D$4,IF('امتیاز دهی خبرگان'!$C97=4,'طیف فازی'!$D$5,'طیف فازی'!$D$6)))))</f>
        <v>1</v>
      </c>
      <c r="F97" s="20">
        <f>IF('امتیاز دهی خبرگان'!$D97=0,0,IF('امتیاز دهی خبرگان'!$D97=1,'طیف فازی'!$B$2,IF('امتیاز دهی خبرگان'!$D97=2,'طیف فازی'!$B$3,IF('امتیاز دهی خبرگان'!$D97=3,'طیف فازی'!$B$4,IF('امتیاز دهی خبرگان'!$D97=4,'طیف فازی'!$B$5,'طیف فازی'!$B$6)))))</f>
        <v>0</v>
      </c>
      <c r="G97" s="21">
        <f>IF('امتیاز دهی خبرگان'!$D97=0,0,IF('امتیاز دهی خبرگان'!$D97=1,'طیف فازی'!$D$2,IF('امتیاز دهی خبرگان'!$D97=2,'طیف فازی'!$C$3,IF('امتیاز دهی خبرگان'!$D97=3,'طیف فازی'!$C$4,IF('امتیاز دهی خبرگان'!$D97=4,'طیف فازی'!$C$5,'طیف فازی'!$C$6)))))</f>
        <v>0.25</v>
      </c>
      <c r="H97" s="22">
        <f>IF('امتیاز دهی خبرگان'!$D97=0,0,IF('امتیاز دهی خبرگان'!$D97=1,'طیف فازی'!$D$2,IF('امتیاز دهی خبرگان'!$D97=2,'طیف فازی'!$D$3,IF('امتیاز دهی خبرگان'!$D97=3,'طیف فازی'!$D$4,IF('امتیاز دهی خبرگان'!$D97=4,'طیف فازی'!$D$5,'طیف فازی'!$D$6)))))</f>
        <v>0.5</v>
      </c>
      <c r="I97" s="17">
        <f>IF('امتیاز دهی خبرگان'!$E97=0,0,IF('امتیاز دهی خبرگان'!$E97=1,'طیف فازی'!$B$2,IF('امتیاز دهی خبرگان'!$E97=2,'طیف فازی'!$B$3,IF('امتیاز دهی خبرگان'!$E97=3,'طیف فازی'!$B$4,IF('امتیاز دهی خبرگان'!$E97=4,'طیف فازی'!$B$5,'طیف فازی'!$B$6)))))</f>
        <v>0</v>
      </c>
      <c r="J97" s="18">
        <f>IF('امتیاز دهی خبرگان'!$E97=0,0,IF('امتیاز دهی خبرگان'!$E97=1,'طیف فازی'!$C$2,IF('امتیاز دهی خبرگان'!$E97=2,'طیف فازی'!$C$3,IF('امتیاز دهی خبرگان'!$E97=3,'طیف فازی'!$C$4,IF('امتیاز دهی خبرگان'!$E97=4,'طیف فازی'!$C$5,'طیف فازی'!$C$6)))))</f>
        <v>0.25</v>
      </c>
      <c r="K97" s="19">
        <f>IF('امتیاز دهی خبرگان'!$E97=0,0,IF('امتیاز دهی خبرگان'!$E97=1,'طیف فازی'!$D$2,IF('امتیاز دهی خبرگان'!$E97=2,'طیف فازی'!$D$3,IF('امتیاز دهی خبرگان'!$E97=3,'طیف فازی'!$D$4,IF('امتیاز دهی خبرگان'!$E97=4,'طیف فازی'!$D$5,'طیف فازی'!$D$6)))))</f>
        <v>0.5</v>
      </c>
      <c r="L97" s="17">
        <f>IF('امتیاز دهی خبرگان'!$F97=0,0,IF('امتیاز دهی خبرگان'!$F97=1,'طیف فازی'!$B$2,IF('امتیاز دهی خبرگان'!$F97=2,'طیف فازی'!$B$3,IF('امتیاز دهی خبرگان'!$F97=3,'طیف فازی'!$B$4,IF('امتیاز دهی خبرگان'!$F97=4,'طیف فازی'!$B$5,'طیف فازی'!$B$6)))))</f>
        <v>0</v>
      </c>
      <c r="M97" s="18">
        <f>IF('امتیاز دهی خبرگان'!$F97=0,0,IF('امتیاز دهی خبرگان'!$F97=1,'طیف فازی'!$C$2,IF('امتیاز دهی خبرگان'!$F97=2,'طیف فازی'!$C$3,IF('امتیاز دهی خبرگان'!$F97=3,'طیف فازی'!$C$4,IF('امتیاز دهی خبرگان'!$F97=4,'طیف فازی'!$C$5,'طیف فازی'!$C$6)))))</f>
        <v>0.25</v>
      </c>
      <c r="N97" s="19">
        <f>IF('امتیاز دهی خبرگان'!$F97=0,0,IF('امتیاز دهی خبرگان'!$F97=1,'طیف فازی'!$D$2,IF('امتیاز دهی خبرگان'!$F97=2,'طیف فازی'!$D$3,IF('امتیاز دهی خبرگان'!$F97=3,'طیف فازی'!$D$4,IF('امتیاز دهی خبرگان'!$F97=4,'طیف فازی'!$D$5,'طیف فازی'!$D$6)))))</f>
        <v>0.5</v>
      </c>
      <c r="O97" s="17">
        <f>IF('امتیاز دهی خبرگان'!$G97=0,0,IF('امتیاز دهی خبرگان'!$G97=1,'طیف فازی'!$B$2,IF('امتیاز دهی خبرگان'!$G97=2,'طیف فازی'!$B$3,IF('امتیاز دهی خبرگان'!$G97=3,'طیف فازی'!$B$4,IF('امتیاز دهی خبرگان'!$G97=4,'طیف فازی'!$B$5,'طیف فازی'!$B$6)))))</f>
        <v>0.75</v>
      </c>
      <c r="P97" s="18">
        <f>IF('امتیاز دهی خبرگان'!$G97=0,0,IF('امتیاز دهی خبرگان'!$G97=1,'طیف فازی'!$C$2,IF('امتیاز دهی خبرگان'!$G97=2,'طیف فازی'!$C$3,IF('امتیاز دهی خبرگان'!$G97=3,'طیف فازی'!$C$4,IF('امتیاز دهی خبرگان'!$G97=4,'طیف فازی'!$C$5,'طیف فازی'!$C$6)))))</f>
        <v>1</v>
      </c>
      <c r="Q97" s="19">
        <f>IF('امتیاز دهی خبرگان'!$G97=0,0,IF('امتیاز دهی خبرگان'!$G97=1,'طیف فازی'!$D$2,IF('امتیاز دهی خبرگان'!$G97=2,'طیف فازی'!$D$3,IF('امتیاز دهی خبرگان'!$G97=3,'طیف فازی'!$D$4,IF('امتیاز دهی خبرگان'!$G97=4,'طیف فازی'!$D$5,'طیف فازی'!$D$6)))))</f>
        <v>1</v>
      </c>
      <c r="R97" s="17">
        <f>IF('امتیاز دهی خبرگان'!$H97=0,0,IF('امتیاز دهی خبرگان'!$H97=1,'طیف فازی'!$B$2,IF('امتیاز دهی خبرگان'!$H97=2,'طیف فازی'!$B$3,IF('امتیاز دهی خبرگان'!$H97=3,'طیف فازی'!$B$4,IF('امتیاز دهی خبرگان'!$H97=4,'طیف فازی'!$B$5,'طیف فازی'!$B$6)))))</f>
        <v>0.25</v>
      </c>
      <c r="S97" s="18">
        <f>IF('امتیاز دهی خبرگان'!$H97=0,0,IF('امتیاز دهی خبرگان'!$H97=1,'طیف فازی'!$C$2,IF('امتیاز دهی خبرگان'!$H97=2,'طیف فازی'!$C$3,IF('امتیاز دهی خبرگان'!$H97=3,'طیف فازی'!$C$4,IF('امتیاز دهی خبرگان'!$H97=4,'طیف فازی'!$C$5,'طیف فازی'!$C$6)))))</f>
        <v>0.5</v>
      </c>
      <c r="T97" s="19">
        <f>IF('امتیاز دهی خبرگان'!$H97=0,0,IF('امتیاز دهی خبرگان'!$H97=1,'طیف فازی'!$D$2,IF('امتیاز دهی خبرگان'!$H97=2,'طیف فازی'!$D$3,IF('امتیاز دهی خبرگان'!$H97=3,'طیف فازی'!$D$4,IF('امتیاز دهی خبرگان'!$H97=4,'طیف فازی'!$D$5,'طیف فازی'!$D$6)))))</f>
        <v>0.75</v>
      </c>
      <c r="U97" s="17">
        <f>IF('امتیاز دهی خبرگان'!$I97=0,0,IF('امتیاز دهی خبرگان'!$I97=1,'طیف فازی'!$B$2,IF('امتیاز دهی خبرگان'!$I97=2,'طیف فازی'!$B$3,IF('امتیاز دهی خبرگان'!$I97=3,'طیف فازی'!$B$4,IF('امتیاز دهی خبرگان'!$I97=4,'طیف فازی'!$B$5,'طیف فازی'!$B$6)))))</f>
        <v>0.75</v>
      </c>
      <c r="V97" s="18">
        <f>IF('امتیاز دهی خبرگان'!$I97=0,0,IF('امتیاز دهی خبرگان'!$I97=1,'طیف فازی'!$C$2,IF('امتیاز دهی خبرگان'!$I97=2,'طیف فازی'!$C$3,IF('امتیاز دهی خبرگان'!$I97=3,'طیف فازی'!$C$4,IF('امتیاز دهی خبرگان'!$I97=4,'طیف فازی'!$C$5,'طیف فازی'!$C$6)))))</f>
        <v>1</v>
      </c>
      <c r="W97" s="19">
        <f>IF('امتیاز دهی خبرگان'!$I97=0,0,IF('امتیاز دهی خبرگان'!$I97=1,'طیف فازی'!$D$2,IF('امتیاز دهی خبرگان'!$I97=2,'طیف فازی'!$D$3,IF('امتیاز دهی خبرگان'!$I97=3,'طیف فازی'!$D$4,IF('امتیاز دهی خبرگان'!$I97=4,'طیف فازی'!$D$5,'طیف فازی'!$D$6)))))</f>
        <v>1</v>
      </c>
      <c r="X97" s="17">
        <f>IF('امتیاز دهی خبرگان'!$J97=0,0,IF('امتیاز دهی خبرگان'!$J97=1,'طیف فازی'!$B$2,IF('امتیاز دهی خبرگان'!$J97=2,'طیف فازی'!$B$3,IF('امتیاز دهی خبرگان'!$J97=3,'طیف فازی'!$B$4,IF('امتیاز دهی خبرگان'!$J97=4,'طیف فازی'!$B$5,'طیف فازی'!$B$6)))))</f>
        <v>0.75</v>
      </c>
      <c r="Y97" s="18">
        <f>IF('امتیاز دهی خبرگان'!$J97=0,0,IF('امتیاز دهی خبرگان'!$J97=1,'طیف فازی'!$C$2,IF('امتیاز دهی خبرگان'!$J97=2,'طیف فازی'!$C$3,IF('امتیاز دهی خبرگان'!$J97=3,'طیف فازی'!$C$4,IF('امتیاز دهی خبرگان'!$J97=4,'طیف فازی'!$C$5,'طیف فازی'!$C$6)))))</f>
        <v>1</v>
      </c>
      <c r="Z97" s="19">
        <f>IF('امتیاز دهی خبرگان'!$J97=0,0,IF('امتیاز دهی خبرگان'!$J97=1,'طیف فازی'!$D$2,IF('امتیاز دهی خبرگان'!$J97=2,'طیف فازی'!$D$3,IF('امتیاز دهی خبرگان'!$J97=3,'طیف فازی'!$D$4,IF('امتیاز دهی خبرگان'!$J97=4,'طیف فازی'!$D$5,'طیف فازی'!$D$6)))))</f>
        <v>1</v>
      </c>
      <c r="AA97" s="17">
        <f>IF('امتیاز دهی خبرگان'!$K97=0,0,IF('امتیاز دهی خبرگان'!$K97=1,'طیف فازی'!$B$2,IF('امتیاز دهی خبرگان'!$K97=2,'طیف فازی'!$B$3,IF('امتیاز دهی خبرگان'!$K97=3,'طیف فازی'!$B$4,IF('امتیاز دهی خبرگان'!$K97=4,'طیف فازی'!$B$5,'طیف فازی'!$B$6)))))</f>
        <v>0.75</v>
      </c>
      <c r="AB97" s="18">
        <f>IF('امتیاز دهی خبرگان'!$K97=0,0,IF('امتیاز دهی خبرگان'!$K97=1,'طیف فازی'!$C$2,IF('امتیاز دهی خبرگان'!$K97=2,'طیف فازی'!$C$3,IF('امتیاز دهی خبرگان'!$K97=3,'طیف فازی'!$C$4,IF('امتیاز دهی خبرگان'!$K97=4,'طیف فازی'!$C$5,'طیف فازی'!$C$6)))))</f>
        <v>1</v>
      </c>
      <c r="AC97" s="19">
        <f>IF('امتیاز دهی خبرگان'!$K97=0,0,IF('امتیاز دهی خبرگان'!$K97=1,'طیف فازی'!$D$2,IF('امتیاز دهی خبرگان'!$K97=2,'طیف فازی'!$D$3,IF('امتیاز دهی خبرگان'!$K97=3,'طیف فازی'!$D$4,IF('امتیاز دهی خبرگان'!$K97=4,'طیف فازی'!$D$5,'طیف فازی'!$D$6)))))</f>
        <v>1</v>
      </c>
      <c r="AD97" s="17">
        <f>IF('امتیاز دهی خبرگان'!$L97=0,0,IF('امتیاز دهی خبرگان'!$L97=1,'طیف فازی'!$B$2,IF('امتیاز دهی خبرگان'!$L97=2,'طیف فازی'!$B$3,IF('امتیاز دهی خبرگان'!$L97=3,'طیف فازی'!$B$4,IF('امتیاز دهی خبرگان'!$L97=4,'طیف فازی'!$B$5,'طیف فازی'!$B$6)))))</f>
        <v>0.75</v>
      </c>
      <c r="AE97" s="18">
        <f>IF('امتیاز دهی خبرگان'!$L97=0,0,IF('امتیاز دهی خبرگان'!$L97=1,'طیف فازی'!$C$2,IF('امتیاز دهی خبرگان'!$L97=2,'طیف فازی'!$C$3,IF('امتیاز دهی خبرگان'!$L97=3,'طیف فازی'!$C$4,IF('امتیاز دهی خبرگان'!$L97=4,'طیف فازی'!$C$5,'طیف فازی'!$C$6)))))</f>
        <v>1</v>
      </c>
      <c r="AF97" s="19">
        <f>IF('امتیاز دهی خبرگان'!$L97=0,0,IF('امتیاز دهی خبرگان'!$L97=1,'طیف فازی'!$D$2,IF('امتیاز دهی خبرگان'!$L97=2,'طیف فازی'!$D$3,IF('امتیاز دهی خبرگان'!$L97=3,'طیف فازی'!$D$4,IF('امتیاز دهی خبرگان'!$L97=4,'طیف فازی'!$D$5,'طیف فازی'!$D$6)))))</f>
        <v>1</v>
      </c>
      <c r="AG97" s="17">
        <f>IF('امتیاز دهی خبرگان'!$M97=0,0,IF('امتیاز دهی خبرگان'!$M97=1,'طیف فازی'!$B$2,IF('امتیاز دهی خبرگان'!$M97=2,'طیف فازی'!$B$3,IF('امتیاز دهی خبرگان'!$M97=3,'طیف فازی'!$B$4,IF('امتیاز دهی خبرگان'!$M97=4,'طیف فازی'!$B$5,'طیف فازی'!$B$6)))))</f>
        <v>0.75</v>
      </c>
      <c r="AH97" s="18">
        <f>IF('امتیاز دهی خبرگان'!$M97=0,0,IF('امتیاز دهی خبرگان'!$M97=1,'طیف فازی'!$C$2,IF('امتیاز دهی خبرگان'!$M97=2,'طیف فازی'!$C$3,IF('امتیاز دهی خبرگان'!$M97=3,'طیف فازی'!$C$4,IF('امتیاز دهی خبرگان'!$M97=4,'طیف فازی'!$C$5,'طیف فازی'!$C$6)))))</f>
        <v>1</v>
      </c>
      <c r="AI97" s="19">
        <f>IF('امتیاز دهی خبرگان'!$M97=0,0,IF('امتیاز دهی خبرگان'!$M97=1,'طیف فازی'!$D$2,IF('امتیاز دهی خبرگان'!$M97=2,'طیف فازی'!$D$3,IF('امتیاز دهی خبرگان'!$M97=3,'طیف فازی'!$D$4,IF('امتیاز دهی خبرگان'!$M97=4,'طیف فازی'!$D$5,'طیف فازی'!$D$6)))))</f>
        <v>1</v>
      </c>
      <c r="AJ97" s="17">
        <f>IF('امتیاز دهی خبرگان'!$N97=0,0,IF('امتیاز دهی خبرگان'!$N97=1,'طیف فازی'!$B$2,IF('امتیاز دهی خبرگان'!$N97=2,'طیف فازی'!$B$3,IF('امتیاز دهی خبرگان'!$N97=3,'طیف فازی'!$B$4,IF('امتیاز دهی خبرگان'!$N97=4,'طیف فازی'!$B$5,'طیف فازی'!$B$6)))))</f>
        <v>0.5</v>
      </c>
      <c r="AK97" s="18">
        <f>IF('امتیاز دهی خبرگان'!$N97=0,0,IF('امتیاز دهی خبرگان'!$N97=1,'طیف فازی'!$C$2,IF('امتیاز دهی خبرگان'!$N97=2,'طیف فازی'!$C$3,IF('امتیاز دهی خبرگان'!$N97=3,'طیف فازی'!$C$4,IF('امتیاز دهی خبرگان'!$N97=4,'طیف فازی'!$C$5,'طیف فازی'!$C$6)))))</f>
        <v>0.75</v>
      </c>
      <c r="AL97" s="19">
        <f>IF('امتیاز دهی خبرگان'!$N97=0,0,IF('امتیاز دهی خبرگان'!$N97=1,'طیف فازی'!$D$2,IF('امتیاز دهی خبرگان'!$N97=2,'طیف فازی'!$D$3,IF('امتیاز دهی خبرگان'!$N97=3,'طیف فازی'!$D$4,IF('امتیاز دهی خبرگان'!$N97=4,'طیف فازی'!$D$5,'طیف فازی'!$D$6)))))</f>
        <v>1</v>
      </c>
      <c r="AM97" s="23">
        <f t="shared" si="9"/>
        <v>6</v>
      </c>
      <c r="AN97" s="23">
        <f t="shared" si="10"/>
        <v>9</v>
      </c>
      <c r="AO97" s="24">
        <f t="shared" si="11"/>
        <v>10.25</v>
      </c>
      <c r="AP97" s="25">
        <f t="shared" si="12"/>
        <v>0.5</v>
      </c>
      <c r="AQ97" s="23">
        <f t="shared" si="13"/>
        <v>0.75</v>
      </c>
      <c r="AR97" s="24">
        <f t="shared" si="14"/>
        <v>0.85416666666666663</v>
      </c>
      <c r="AS97" s="24">
        <f t="shared" si="15"/>
        <v>0.70138888888888884</v>
      </c>
      <c r="AT97" s="24" t="str">
        <f t="shared" si="16"/>
        <v>Pass</v>
      </c>
    </row>
    <row r="98" spans="2:46" ht="23.25" customHeight="1" thickBot="1" x14ac:dyDescent="0.85">
      <c r="B98" s="2">
        <v>94</v>
      </c>
      <c r="C98" s="17">
        <f>IF('امتیاز دهی خبرگان'!$C98=0,0,IF('امتیاز دهی خبرگان'!$C98=1,'طیف فازی'!$B$2,IF('امتیاز دهی خبرگان'!$C98=2,'طیف فازی'!$B$3,IF('امتیاز دهی خبرگان'!$C98=3,'طیف فازی'!$B$4,IF('امتیاز دهی خبرگان'!$C98=4,'طیف فازی'!$B$5,'طیف فازی'!$B$6)))))</f>
        <v>0.75</v>
      </c>
      <c r="D98" s="18">
        <f>IF('امتیاز دهی خبرگان'!$C98=0,0,IF('امتیاز دهی خبرگان'!$C98=1,'طیف فازی'!$C$2,IF('امتیاز دهی خبرگان'!$C98=2,'طیف فازی'!$C$3,IF('امتیاز دهی خبرگان'!$C98=3,'طیف فازی'!$C$4,IF('امتیاز دهی خبرگان'!$C98=4,'طیف فازی'!$C$5,'طیف فازی'!$C$6)))))</f>
        <v>1</v>
      </c>
      <c r="E98" s="19">
        <f>IF('امتیاز دهی خبرگان'!$C98=0,0,IF('امتیاز دهی خبرگان'!$C98=1,'طیف فازی'!$D$2,IF('امتیاز دهی خبرگان'!$C98=2,'طیف فازی'!$D$3,IF('امتیاز دهی خبرگان'!$C98=3,'طیف فازی'!$D$4,IF('امتیاز دهی خبرگان'!$C98=4,'طیف فازی'!$D$5,'طیف فازی'!$D$6)))))</f>
        <v>1</v>
      </c>
      <c r="F98" s="20">
        <f>IF('امتیاز دهی خبرگان'!$D98=0,0,IF('امتیاز دهی خبرگان'!$D98=1,'طیف فازی'!$B$2,IF('امتیاز دهی خبرگان'!$D98=2,'طیف فازی'!$B$3,IF('امتیاز دهی خبرگان'!$D98=3,'طیف فازی'!$B$4,IF('امتیاز دهی خبرگان'!$D98=4,'طیف فازی'!$B$5,'طیف فازی'!$B$6)))))</f>
        <v>0.25</v>
      </c>
      <c r="G98" s="21">
        <f>IF('امتیاز دهی خبرگان'!$D98=0,0,IF('امتیاز دهی خبرگان'!$D98=1,'طیف فازی'!$D$2,IF('امتیاز دهی خبرگان'!$D98=2,'طیف فازی'!$C$3,IF('امتیاز دهی خبرگان'!$D98=3,'طیف فازی'!$C$4,IF('امتیاز دهی خبرگان'!$D98=4,'طیف فازی'!$C$5,'طیف فازی'!$C$6)))))</f>
        <v>0.5</v>
      </c>
      <c r="H98" s="22">
        <f>IF('امتیاز دهی خبرگان'!$D98=0,0,IF('امتیاز دهی خبرگان'!$D98=1,'طیف فازی'!$D$2,IF('امتیاز دهی خبرگان'!$D98=2,'طیف فازی'!$D$3,IF('امتیاز دهی خبرگان'!$D98=3,'طیف فازی'!$D$4,IF('امتیاز دهی خبرگان'!$D98=4,'طیف فازی'!$D$5,'طیف فازی'!$D$6)))))</f>
        <v>0.75</v>
      </c>
      <c r="I98" s="17">
        <f>IF('امتیاز دهی خبرگان'!$E98=0,0,IF('امتیاز دهی خبرگان'!$E98=1,'طیف فازی'!$B$2,IF('امتیاز دهی خبرگان'!$E98=2,'طیف فازی'!$B$3,IF('امتیاز دهی خبرگان'!$E98=3,'طیف فازی'!$B$4,IF('امتیاز دهی خبرگان'!$E98=4,'طیف فازی'!$B$5,'طیف فازی'!$B$6)))))</f>
        <v>0.5</v>
      </c>
      <c r="J98" s="18">
        <f>IF('امتیاز دهی خبرگان'!$E98=0,0,IF('امتیاز دهی خبرگان'!$E98=1,'طیف فازی'!$C$2,IF('امتیاز دهی خبرگان'!$E98=2,'طیف فازی'!$C$3,IF('امتیاز دهی خبرگان'!$E98=3,'طیف فازی'!$C$4,IF('امتیاز دهی خبرگان'!$E98=4,'طیف فازی'!$C$5,'طیف فازی'!$C$6)))))</f>
        <v>0.75</v>
      </c>
      <c r="K98" s="19">
        <f>IF('امتیاز دهی خبرگان'!$E98=0,0,IF('امتیاز دهی خبرگان'!$E98=1,'طیف فازی'!$D$2,IF('امتیاز دهی خبرگان'!$E98=2,'طیف فازی'!$D$3,IF('امتیاز دهی خبرگان'!$E98=3,'طیف فازی'!$D$4,IF('امتیاز دهی خبرگان'!$E98=4,'طیف فازی'!$D$5,'طیف فازی'!$D$6)))))</f>
        <v>1</v>
      </c>
      <c r="L98" s="17">
        <f>IF('امتیاز دهی خبرگان'!$F98=0,0,IF('امتیاز دهی خبرگان'!$F98=1,'طیف فازی'!$B$2,IF('امتیاز دهی خبرگان'!$F98=2,'طیف فازی'!$B$3,IF('امتیاز دهی خبرگان'!$F98=3,'طیف فازی'!$B$4,IF('امتیاز دهی خبرگان'!$F98=4,'طیف فازی'!$B$5,'طیف فازی'!$B$6)))))</f>
        <v>0.75</v>
      </c>
      <c r="M98" s="18">
        <f>IF('امتیاز دهی خبرگان'!$F98=0,0,IF('امتیاز دهی خبرگان'!$F98=1,'طیف فازی'!$C$2,IF('امتیاز دهی خبرگان'!$F98=2,'طیف فازی'!$C$3,IF('امتیاز دهی خبرگان'!$F98=3,'طیف فازی'!$C$4,IF('امتیاز دهی خبرگان'!$F98=4,'طیف فازی'!$C$5,'طیف فازی'!$C$6)))))</f>
        <v>1</v>
      </c>
      <c r="N98" s="19">
        <f>IF('امتیاز دهی خبرگان'!$F98=0,0,IF('امتیاز دهی خبرگان'!$F98=1,'طیف فازی'!$D$2,IF('امتیاز دهی خبرگان'!$F98=2,'طیف فازی'!$D$3,IF('امتیاز دهی خبرگان'!$F98=3,'طیف فازی'!$D$4,IF('امتیاز دهی خبرگان'!$F98=4,'طیف فازی'!$D$5,'طیف فازی'!$D$6)))))</f>
        <v>1</v>
      </c>
      <c r="O98" s="17">
        <f>IF('امتیاز دهی خبرگان'!$G98=0,0,IF('امتیاز دهی خبرگان'!$G98=1,'طیف فازی'!$B$2,IF('امتیاز دهی خبرگان'!$G98=2,'طیف فازی'!$B$3,IF('امتیاز دهی خبرگان'!$G98=3,'طیف فازی'!$B$4,IF('امتیاز دهی خبرگان'!$G98=4,'طیف فازی'!$B$5,'طیف فازی'!$B$6)))))</f>
        <v>0.75</v>
      </c>
      <c r="P98" s="18">
        <f>IF('امتیاز دهی خبرگان'!$G98=0,0,IF('امتیاز دهی خبرگان'!$G98=1,'طیف فازی'!$C$2,IF('امتیاز دهی خبرگان'!$G98=2,'طیف فازی'!$C$3,IF('امتیاز دهی خبرگان'!$G98=3,'طیف فازی'!$C$4,IF('امتیاز دهی خبرگان'!$G98=4,'طیف فازی'!$C$5,'طیف فازی'!$C$6)))))</f>
        <v>1</v>
      </c>
      <c r="Q98" s="19">
        <f>IF('امتیاز دهی خبرگان'!$G98=0,0,IF('امتیاز دهی خبرگان'!$G98=1,'طیف فازی'!$D$2,IF('امتیاز دهی خبرگان'!$G98=2,'طیف فازی'!$D$3,IF('امتیاز دهی خبرگان'!$G98=3,'طیف فازی'!$D$4,IF('امتیاز دهی خبرگان'!$G98=4,'طیف فازی'!$D$5,'طیف فازی'!$D$6)))))</f>
        <v>1</v>
      </c>
      <c r="R98" s="17">
        <f>IF('امتیاز دهی خبرگان'!$H98=0,0,IF('امتیاز دهی خبرگان'!$H98=1,'طیف فازی'!$B$2,IF('امتیاز دهی خبرگان'!$H98=2,'طیف فازی'!$B$3,IF('امتیاز دهی خبرگان'!$H98=3,'طیف فازی'!$B$4,IF('امتیاز دهی خبرگان'!$H98=4,'طیف فازی'!$B$5,'طیف فازی'!$B$6)))))</f>
        <v>0.25</v>
      </c>
      <c r="S98" s="18">
        <f>IF('امتیاز دهی خبرگان'!$H98=0,0,IF('امتیاز دهی خبرگان'!$H98=1,'طیف فازی'!$C$2,IF('امتیاز دهی خبرگان'!$H98=2,'طیف فازی'!$C$3,IF('امتیاز دهی خبرگان'!$H98=3,'طیف فازی'!$C$4,IF('امتیاز دهی خبرگان'!$H98=4,'طیف فازی'!$C$5,'طیف فازی'!$C$6)))))</f>
        <v>0.5</v>
      </c>
      <c r="T98" s="19">
        <f>IF('امتیاز دهی خبرگان'!$H98=0,0,IF('امتیاز دهی خبرگان'!$H98=1,'طیف فازی'!$D$2,IF('امتیاز دهی خبرگان'!$H98=2,'طیف فازی'!$D$3,IF('امتیاز دهی خبرگان'!$H98=3,'طیف فازی'!$D$4,IF('امتیاز دهی خبرگان'!$H98=4,'طیف فازی'!$D$5,'طیف فازی'!$D$6)))))</f>
        <v>0.75</v>
      </c>
      <c r="U98" s="17">
        <f>IF('امتیاز دهی خبرگان'!$I98=0,0,IF('امتیاز دهی خبرگان'!$I98=1,'طیف فازی'!$B$2,IF('امتیاز دهی خبرگان'!$I98=2,'طیف فازی'!$B$3,IF('امتیاز دهی خبرگان'!$I98=3,'طیف فازی'!$B$4,IF('امتیاز دهی خبرگان'!$I98=4,'طیف فازی'!$B$5,'طیف فازی'!$B$6)))))</f>
        <v>0.5</v>
      </c>
      <c r="V98" s="18">
        <f>IF('امتیاز دهی خبرگان'!$I98=0,0,IF('امتیاز دهی خبرگان'!$I98=1,'طیف فازی'!$C$2,IF('امتیاز دهی خبرگان'!$I98=2,'طیف فازی'!$C$3,IF('امتیاز دهی خبرگان'!$I98=3,'طیف فازی'!$C$4,IF('امتیاز دهی خبرگان'!$I98=4,'طیف فازی'!$C$5,'طیف فازی'!$C$6)))))</f>
        <v>0.75</v>
      </c>
      <c r="W98" s="19">
        <f>IF('امتیاز دهی خبرگان'!$I98=0,0,IF('امتیاز دهی خبرگان'!$I98=1,'طیف فازی'!$D$2,IF('امتیاز دهی خبرگان'!$I98=2,'طیف فازی'!$D$3,IF('امتیاز دهی خبرگان'!$I98=3,'طیف فازی'!$D$4,IF('امتیاز دهی خبرگان'!$I98=4,'طیف فازی'!$D$5,'طیف فازی'!$D$6)))))</f>
        <v>1</v>
      </c>
      <c r="X98" s="17">
        <f>IF('امتیاز دهی خبرگان'!$J98=0,0,IF('امتیاز دهی خبرگان'!$J98=1,'طیف فازی'!$B$2,IF('امتیاز دهی خبرگان'!$J98=2,'طیف فازی'!$B$3,IF('امتیاز دهی خبرگان'!$J98=3,'طیف فازی'!$B$4,IF('امتیاز دهی خبرگان'!$J98=4,'طیف فازی'!$B$5,'طیف فازی'!$B$6)))))</f>
        <v>0.25</v>
      </c>
      <c r="Y98" s="18">
        <f>IF('امتیاز دهی خبرگان'!$J98=0,0,IF('امتیاز دهی خبرگان'!$J98=1,'طیف فازی'!$C$2,IF('امتیاز دهی خبرگان'!$J98=2,'طیف فازی'!$C$3,IF('امتیاز دهی خبرگان'!$J98=3,'طیف فازی'!$C$4,IF('امتیاز دهی خبرگان'!$J98=4,'طیف فازی'!$C$5,'طیف فازی'!$C$6)))))</f>
        <v>0.5</v>
      </c>
      <c r="Z98" s="19">
        <f>IF('امتیاز دهی خبرگان'!$J98=0,0,IF('امتیاز دهی خبرگان'!$J98=1,'طیف فازی'!$D$2,IF('امتیاز دهی خبرگان'!$J98=2,'طیف فازی'!$D$3,IF('امتیاز دهی خبرگان'!$J98=3,'طیف فازی'!$D$4,IF('امتیاز دهی خبرگان'!$J98=4,'طیف فازی'!$D$5,'طیف فازی'!$D$6)))))</f>
        <v>0.75</v>
      </c>
      <c r="AA98" s="17">
        <f>IF('امتیاز دهی خبرگان'!$K98=0,0,IF('امتیاز دهی خبرگان'!$K98=1,'طیف فازی'!$B$2,IF('امتیاز دهی خبرگان'!$K98=2,'طیف فازی'!$B$3,IF('امتیاز دهی خبرگان'!$K98=3,'طیف فازی'!$B$4,IF('امتیاز دهی خبرگان'!$K98=4,'طیف فازی'!$B$5,'طیف فازی'!$B$6)))))</f>
        <v>0.75</v>
      </c>
      <c r="AB98" s="18">
        <f>IF('امتیاز دهی خبرگان'!$K98=0,0,IF('امتیاز دهی خبرگان'!$K98=1,'طیف فازی'!$C$2,IF('امتیاز دهی خبرگان'!$K98=2,'طیف فازی'!$C$3,IF('امتیاز دهی خبرگان'!$K98=3,'طیف فازی'!$C$4,IF('امتیاز دهی خبرگان'!$K98=4,'طیف فازی'!$C$5,'طیف فازی'!$C$6)))))</f>
        <v>1</v>
      </c>
      <c r="AC98" s="19">
        <f>IF('امتیاز دهی خبرگان'!$K98=0,0,IF('امتیاز دهی خبرگان'!$K98=1,'طیف فازی'!$D$2,IF('امتیاز دهی خبرگان'!$K98=2,'طیف فازی'!$D$3,IF('امتیاز دهی خبرگان'!$K98=3,'طیف فازی'!$D$4,IF('امتیاز دهی خبرگان'!$K98=4,'طیف فازی'!$D$5,'طیف فازی'!$D$6)))))</f>
        <v>1</v>
      </c>
      <c r="AD98" s="17">
        <f>IF('امتیاز دهی خبرگان'!$L98=0,0,IF('امتیاز دهی خبرگان'!$L98=1,'طیف فازی'!$B$2,IF('امتیاز دهی خبرگان'!$L98=2,'طیف فازی'!$B$3,IF('امتیاز دهی خبرگان'!$L98=3,'طیف فازی'!$B$4,IF('امتیاز دهی خبرگان'!$L98=4,'طیف فازی'!$B$5,'طیف فازی'!$B$6)))))</f>
        <v>0.5</v>
      </c>
      <c r="AE98" s="18">
        <f>IF('امتیاز دهی خبرگان'!$L98=0,0,IF('امتیاز دهی خبرگان'!$L98=1,'طیف فازی'!$C$2,IF('امتیاز دهی خبرگان'!$L98=2,'طیف فازی'!$C$3,IF('امتیاز دهی خبرگان'!$L98=3,'طیف فازی'!$C$4,IF('امتیاز دهی خبرگان'!$L98=4,'طیف فازی'!$C$5,'طیف فازی'!$C$6)))))</f>
        <v>0.75</v>
      </c>
      <c r="AF98" s="19">
        <f>IF('امتیاز دهی خبرگان'!$L98=0,0,IF('امتیاز دهی خبرگان'!$L98=1,'طیف فازی'!$D$2,IF('امتیاز دهی خبرگان'!$L98=2,'طیف فازی'!$D$3,IF('امتیاز دهی خبرگان'!$L98=3,'طیف فازی'!$D$4,IF('امتیاز دهی خبرگان'!$L98=4,'طیف فازی'!$D$5,'طیف فازی'!$D$6)))))</f>
        <v>1</v>
      </c>
      <c r="AG98" s="17">
        <f>IF('امتیاز دهی خبرگان'!$M98=0,0,IF('امتیاز دهی خبرگان'!$M98=1,'طیف فازی'!$B$2,IF('امتیاز دهی خبرگان'!$M98=2,'طیف فازی'!$B$3,IF('امتیاز دهی خبرگان'!$M98=3,'طیف فازی'!$B$4,IF('امتیاز دهی خبرگان'!$M98=4,'طیف فازی'!$B$5,'طیف فازی'!$B$6)))))</f>
        <v>0.25</v>
      </c>
      <c r="AH98" s="18">
        <f>IF('امتیاز دهی خبرگان'!$M98=0,0,IF('امتیاز دهی خبرگان'!$M98=1,'طیف فازی'!$C$2,IF('امتیاز دهی خبرگان'!$M98=2,'طیف فازی'!$C$3,IF('امتیاز دهی خبرگان'!$M98=3,'طیف فازی'!$C$4,IF('امتیاز دهی خبرگان'!$M98=4,'طیف فازی'!$C$5,'طیف فازی'!$C$6)))))</f>
        <v>0.5</v>
      </c>
      <c r="AI98" s="19">
        <f>IF('امتیاز دهی خبرگان'!$M98=0,0,IF('امتیاز دهی خبرگان'!$M98=1,'طیف فازی'!$D$2,IF('امتیاز دهی خبرگان'!$M98=2,'طیف فازی'!$D$3,IF('امتیاز دهی خبرگان'!$M98=3,'طیف فازی'!$D$4,IF('امتیاز دهی خبرگان'!$M98=4,'طیف فازی'!$D$5,'طیف فازی'!$D$6)))))</f>
        <v>0.75</v>
      </c>
      <c r="AJ98" s="17">
        <f>IF('امتیاز دهی خبرگان'!$N98=0,0,IF('امتیاز دهی خبرگان'!$N98=1,'طیف فازی'!$B$2,IF('امتیاز دهی خبرگان'!$N98=2,'طیف فازی'!$B$3,IF('امتیاز دهی خبرگان'!$N98=3,'طیف فازی'!$B$4,IF('امتیاز دهی خبرگان'!$N98=4,'طیف فازی'!$B$5,'طیف فازی'!$B$6)))))</f>
        <v>0.75</v>
      </c>
      <c r="AK98" s="18">
        <f>IF('امتیاز دهی خبرگان'!$N98=0,0,IF('امتیاز دهی خبرگان'!$N98=1,'طیف فازی'!$C$2,IF('امتیاز دهی خبرگان'!$N98=2,'طیف فازی'!$C$3,IF('امتیاز دهی خبرگان'!$N98=3,'طیف فازی'!$C$4,IF('امتیاز دهی خبرگان'!$N98=4,'طیف فازی'!$C$5,'طیف فازی'!$C$6)))))</f>
        <v>1</v>
      </c>
      <c r="AL98" s="19">
        <f>IF('امتیاز دهی خبرگان'!$N98=0,0,IF('امتیاز دهی خبرگان'!$N98=1,'طیف فازی'!$D$2,IF('امتیاز دهی خبرگان'!$N98=2,'طیف فازی'!$D$3,IF('امتیاز دهی خبرگان'!$N98=3,'طیف فازی'!$D$4,IF('امتیاز دهی خبرگان'!$N98=4,'طیف فازی'!$D$5,'طیف فازی'!$D$6)))))</f>
        <v>1</v>
      </c>
      <c r="AM98" s="23">
        <f t="shared" si="9"/>
        <v>6.25</v>
      </c>
      <c r="AN98" s="23">
        <f t="shared" si="10"/>
        <v>9.25</v>
      </c>
      <c r="AO98" s="24">
        <f t="shared" si="11"/>
        <v>11</v>
      </c>
      <c r="AP98" s="25">
        <f t="shared" si="12"/>
        <v>0.52083333333333337</v>
      </c>
      <c r="AQ98" s="23">
        <f t="shared" si="13"/>
        <v>0.77083333333333337</v>
      </c>
      <c r="AR98" s="24">
        <f t="shared" si="14"/>
        <v>0.91666666666666663</v>
      </c>
      <c r="AS98" s="24">
        <f t="shared" si="15"/>
        <v>0.73611111111111116</v>
      </c>
      <c r="AT98" s="24" t="str">
        <f t="shared" si="16"/>
        <v>Pass</v>
      </c>
    </row>
    <row r="99" spans="2:46" ht="23.25" customHeight="1" thickBot="1" x14ac:dyDescent="0.85">
      <c r="B99" s="2">
        <v>95</v>
      </c>
      <c r="C99" s="17">
        <f>IF('امتیاز دهی خبرگان'!$C99=0,0,IF('امتیاز دهی خبرگان'!$C99=1,'طیف فازی'!$B$2,IF('امتیاز دهی خبرگان'!$C99=2,'طیف فازی'!$B$3,IF('امتیاز دهی خبرگان'!$C99=3,'طیف فازی'!$B$4,IF('امتیاز دهی خبرگان'!$C99=4,'طیف فازی'!$B$5,'طیف فازی'!$B$6)))))</f>
        <v>0.75</v>
      </c>
      <c r="D99" s="18">
        <f>IF('امتیاز دهی خبرگان'!$C99=0,0,IF('امتیاز دهی خبرگان'!$C99=1,'طیف فازی'!$C$2,IF('امتیاز دهی خبرگان'!$C99=2,'طیف فازی'!$C$3,IF('امتیاز دهی خبرگان'!$C99=3,'طیف فازی'!$C$4,IF('امتیاز دهی خبرگان'!$C99=4,'طیف فازی'!$C$5,'طیف فازی'!$C$6)))))</f>
        <v>1</v>
      </c>
      <c r="E99" s="19">
        <f>IF('امتیاز دهی خبرگان'!$C99=0,0,IF('امتیاز دهی خبرگان'!$C99=1,'طیف فازی'!$D$2,IF('امتیاز دهی خبرگان'!$C99=2,'طیف فازی'!$D$3,IF('امتیاز دهی خبرگان'!$C99=3,'طیف فازی'!$D$4,IF('امتیاز دهی خبرگان'!$C99=4,'طیف فازی'!$D$5,'طیف فازی'!$D$6)))))</f>
        <v>1</v>
      </c>
      <c r="F99" s="20">
        <f>IF('امتیاز دهی خبرگان'!$D99=0,0,IF('امتیاز دهی خبرگان'!$D99=1,'طیف فازی'!$B$2,IF('امتیاز دهی خبرگان'!$D99=2,'طیف فازی'!$B$3,IF('امتیاز دهی خبرگان'!$D99=3,'طیف فازی'!$B$4,IF('امتیاز دهی خبرگان'!$D99=4,'طیف فازی'!$B$5,'طیف فازی'!$B$6)))))</f>
        <v>0.5</v>
      </c>
      <c r="G99" s="21">
        <f>IF('امتیاز دهی خبرگان'!$D99=0,0,IF('امتیاز دهی خبرگان'!$D99=1,'طیف فازی'!$D$2,IF('امتیاز دهی خبرگان'!$D99=2,'طیف فازی'!$C$3,IF('امتیاز دهی خبرگان'!$D99=3,'طیف فازی'!$C$4,IF('امتیاز دهی خبرگان'!$D99=4,'طیف فازی'!$C$5,'طیف فازی'!$C$6)))))</f>
        <v>0.75</v>
      </c>
      <c r="H99" s="22">
        <f>IF('امتیاز دهی خبرگان'!$D99=0,0,IF('امتیاز دهی خبرگان'!$D99=1,'طیف فازی'!$D$2,IF('امتیاز دهی خبرگان'!$D99=2,'طیف فازی'!$D$3,IF('امتیاز دهی خبرگان'!$D99=3,'طیف فازی'!$D$4,IF('امتیاز دهی خبرگان'!$D99=4,'طیف فازی'!$D$5,'طیف فازی'!$D$6)))))</f>
        <v>1</v>
      </c>
      <c r="I99" s="17">
        <f>IF('امتیاز دهی خبرگان'!$E99=0,0,IF('امتیاز دهی خبرگان'!$E99=1,'طیف فازی'!$B$2,IF('امتیاز دهی خبرگان'!$E99=2,'طیف فازی'!$B$3,IF('امتیاز دهی خبرگان'!$E99=3,'طیف فازی'!$B$4,IF('امتیاز دهی خبرگان'!$E99=4,'طیف فازی'!$B$5,'طیف فازی'!$B$6)))))</f>
        <v>0</v>
      </c>
      <c r="J99" s="18">
        <f>IF('امتیاز دهی خبرگان'!$E99=0,0,IF('امتیاز دهی خبرگان'!$E99=1,'طیف فازی'!$C$2,IF('امتیاز دهی خبرگان'!$E99=2,'طیف فازی'!$C$3,IF('امتیاز دهی خبرگان'!$E99=3,'طیف فازی'!$C$4,IF('امتیاز دهی خبرگان'!$E99=4,'طیف فازی'!$C$5,'طیف فازی'!$C$6)))))</f>
        <v>0</v>
      </c>
      <c r="K99" s="19">
        <f>IF('امتیاز دهی خبرگان'!$E99=0,0,IF('امتیاز دهی خبرگان'!$E99=1,'طیف فازی'!$D$2,IF('امتیاز دهی خبرگان'!$E99=2,'طیف فازی'!$D$3,IF('امتیاز دهی خبرگان'!$E99=3,'طیف فازی'!$D$4,IF('امتیاز دهی خبرگان'!$E99=4,'طیف فازی'!$D$5,'طیف فازی'!$D$6)))))</f>
        <v>0.25</v>
      </c>
      <c r="L99" s="17">
        <f>IF('امتیاز دهی خبرگان'!$F99=0,0,IF('امتیاز دهی خبرگان'!$F99=1,'طیف فازی'!$B$2,IF('امتیاز دهی خبرگان'!$F99=2,'طیف فازی'!$B$3,IF('امتیاز دهی خبرگان'!$F99=3,'طیف فازی'!$B$4,IF('امتیاز دهی خبرگان'!$F99=4,'طیف فازی'!$B$5,'طیف فازی'!$B$6)))))</f>
        <v>0.75</v>
      </c>
      <c r="M99" s="18">
        <f>IF('امتیاز دهی خبرگان'!$F99=0,0,IF('امتیاز دهی خبرگان'!$F99=1,'طیف فازی'!$C$2,IF('امتیاز دهی خبرگان'!$F99=2,'طیف فازی'!$C$3,IF('امتیاز دهی خبرگان'!$F99=3,'طیف فازی'!$C$4,IF('امتیاز دهی خبرگان'!$F99=4,'طیف فازی'!$C$5,'طیف فازی'!$C$6)))))</f>
        <v>1</v>
      </c>
      <c r="N99" s="19">
        <f>IF('امتیاز دهی خبرگان'!$F99=0,0,IF('امتیاز دهی خبرگان'!$F99=1,'طیف فازی'!$D$2,IF('امتیاز دهی خبرگان'!$F99=2,'طیف فازی'!$D$3,IF('امتیاز دهی خبرگان'!$F99=3,'طیف فازی'!$D$4,IF('امتیاز دهی خبرگان'!$F99=4,'طیف فازی'!$D$5,'طیف فازی'!$D$6)))))</f>
        <v>1</v>
      </c>
      <c r="O99" s="17">
        <f>IF('امتیاز دهی خبرگان'!$G99=0,0,IF('امتیاز دهی خبرگان'!$G99=1,'طیف فازی'!$B$2,IF('امتیاز دهی خبرگان'!$G99=2,'طیف فازی'!$B$3,IF('امتیاز دهی خبرگان'!$G99=3,'طیف فازی'!$B$4,IF('امتیاز دهی خبرگان'!$G99=4,'طیف فازی'!$B$5,'طیف فازی'!$B$6)))))</f>
        <v>0.75</v>
      </c>
      <c r="P99" s="18">
        <f>IF('امتیاز دهی خبرگان'!$G99=0,0,IF('امتیاز دهی خبرگان'!$G99=1,'طیف فازی'!$C$2,IF('امتیاز دهی خبرگان'!$G99=2,'طیف فازی'!$C$3,IF('امتیاز دهی خبرگان'!$G99=3,'طیف فازی'!$C$4,IF('امتیاز دهی خبرگان'!$G99=4,'طیف فازی'!$C$5,'طیف فازی'!$C$6)))))</f>
        <v>1</v>
      </c>
      <c r="Q99" s="19">
        <f>IF('امتیاز دهی خبرگان'!$G99=0,0,IF('امتیاز دهی خبرگان'!$G99=1,'طیف فازی'!$D$2,IF('امتیاز دهی خبرگان'!$G99=2,'طیف فازی'!$D$3,IF('امتیاز دهی خبرگان'!$G99=3,'طیف فازی'!$D$4,IF('امتیاز دهی خبرگان'!$G99=4,'طیف فازی'!$D$5,'طیف فازی'!$D$6)))))</f>
        <v>1</v>
      </c>
      <c r="R99" s="17">
        <f>IF('امتیاز دهی خبرگان'!$H99=0,0,IF('امتیاز دهی خبرگان'!$H99=1,'طیف فازی'!$B$2,IF('امتیاز دهی خبرگان'!$H99=2,'طیف فازی'!$B$3,IF('امتیاز دهی خبرگان'!$H99=3,'طیف فازی'!$B$4,IF('امتیاز دهی خبرگان'!$H99=4,'طیف فازی'!$B$5,'طیف فازی'!$B$6)))))</f>
        <v>0.5</v>
      </c>
      <c r="S99" s="18">
        <f>IF('امتیاز دهی خبرگان'!$H99=0,0,IF('امتیاز دهی خبرگان'!$H99=1,'طیف فازی'!$C$2,IF('امتیاز دهی خبرگان'!$H99=2,'طیف فازی'!$C$3,IF('امتیاز دهی خبرگان'!$H99=3,'طیف فازی'!$C$4,IF('امتیاز دهی خبرگان'!$H99=4,'طیف فازی'!$C$5,'طیف فازی'!$C$6)))))</f>
        <v>0.75</v>
      </c>
      <c r="T99" s="19">
        <f>IF('امتیاز دهی خبرگان'!$H99=0,0,IF('امتیاز دهی خبرگان'!$H99=1,'طیف فازی'!$D$2,IF('امتیاز دهی خبرگان'!$H99=2,'طیف فازی'!$D$3,IF('امتیاز دهی خبرگان'!$H99=3,'طیف فازی'!$D$4,IF('امتیاز دهی خبرگان'!$H99=4,'طیف فازی'!$D$5,'طیف فازی'!$D$6)))))</f>
        <v>1</v>
      </c>
      <c r="U99" s="17">
        <f>IF('امتیاز دهی خبرگان'!$I99=0,0,IF('امتیاز دهی خبرگان'!$I99=1,'طیف فازی'!$B$2,IF('امتیاز دهی خبرگان'!$I99=2,'طیف فازی'!$B$3,IF('امتیاز دهی خبرگان'!$I99=3,'طیف فازی'!$B$4,IF('امتیاز دهی خبرگان'!$I99=4,'طیف فازی'!$B$5,'طیف فازی'!$B$6)))))</f>
        <v>0.5</v>
      </c>
      <c r="V99" s="18">
        <f>IF('امتیاز دهی خبرگان'!$I99=0,0,IF('امتیاز دهی خبرگان'!$I99=1,'طیف فازی'!$C$2,IF('امتیاز دهی خبرگان'!$I99=2,'طیف فازی'!$C$3,IF('امتیاز دهی خبرگان'!$I99=3,'طیف فازی'!$C$4,IF('امتیاز دهی خبرگان'!$I99=4,'طیف فازی'!$C$5,'طیف فازی'!$C$6)))))</f>
        <v>0.75</v>
      </c>
      <c r="W99" s="19">
        <f>IF('امتیاز دهی خبرگان'!$I99=0,0,IF('امتیاز دهی خبرگان'!$I99=1,'طیف فازی'!$D$2,IF('امتیاز دهی خبرگان'!$I99=2,'طیف فازی'!$D$3,IF('امتیاز دهی خبرگان'!$I99=3,'طیف فازی'!$D$4,IF('امتیاز دهی خبرگان'!$I99=4,'طیف فازی'!$D$5,'طیف فازی'!$D$6)))))</f>
        <v>1</v>
      </c>
      <c r="X99" s="17">
        <f>IF('امتیاز دهی خبرگان'!$J99=0,0,IF('امتیاز دهی خبرگان'!$J99=1,'طیف فازی'!$B$2,IF('امتیاز دهی خبرگان'!$J99=2,'طیف فازی'!$B$3,IF('امتیاز دهی خبرگان'!$J99=3,'طیف فازی'!$B$4,IF('امتیاز دهی خبرگان'!$J99=4,'طیف فازی'!$B$5,'طیف فازی'!$B$6)))))</f>
        <v>0.5</v>
      </c>
      <c r="Y99" s="18">
        <f>IF('امتیاز دهی خبرگان'!$J99=0,0,IF('امتیاز دهی خبرگان'!$J99=1,'طیف فازی'!$C$2,IF('امتیاز دهی خبرگان'!$J99=2,'طیف فازی'!$C$3,IF('امتیاز دهی خبرگان'!$J99=3,'طیف فازی'!$C$4,IF('امتیاز دهی خبرگان'!$J99=4,'طیف فازی'!$C$5,'طیف فازی'!$C$6)))))</f>
        <v>0.75</v>
      </c>
      <c r="Z99" s="19">
        <f>IF('امتیاز دهی خبرگان'!$J99=0,0,IF('امتیاز دهی خبرگان'!$J99=1,'طیف فازی'!$D$2,IF('امتیاز دهی خبرگان'!$J99=2,'طیف فازی'!$D$3,IF('امتیاز دهی خبرگان'!$J99=3,'طیف فازی'!$D$4,IF('امتیاز دهی خبرگان'!$J99=4,'طیف فازی'!$D$5,'طیف فازی'!$D$6)))))</f>
        <v>1</v>
      </c>
      <c r="AA99" s="17">
        <f>IF('امتیاز دهی خبرگان'!$K99=0,0,IF('امتیاز دهی خبرگان'!$K99=1,'طیف فازی'!$B$2,IF('امتیاز دهی خبرگان'!$K99=2,'طیف فازی'!$B$3,IF('امتیاز دهی خبرگان'!$K99=3,'طیف فازی'!$B$4,IF('امتیاز دهی خبرگان'!$K99=4,'طیف فازی'!$B$5,'طیف فازی'!$B$6)))))</f>
        <v>0.75</v>
      </c>
      <c r="AB99" s="18">
        <f>IF('امتیاز دهی خبرگان'!$K99=0,0,IF('امتیاز دهی خبرگان'!$K99=1,'طیف فازی'!$C$2,IF('امتیاز دهی خبرگان'!$K99=2,'طیف فازی'!$C$3,IF('امتیاز دهی خبرگان'!$K99=3,'طیف فازی'!$C$4,IF('امتیاز دهی خبرگان'!$K99=4,'طیف فازی'!$C$5,'طیف فازی'!$C$6)))))</f>
        <v>1</v>
      </c>
      <c r="AC99" s="19">
        <f>IF('امتیاز دهی خبرگان'!$K99=0,0,IF('امتیاز دهی خبرگان'!$K99=1,'طیف فازی'!$D$2,IF('امتیاز دهی خبرگان'!$K99=2,'طیف فازی'!$D$3,IF('امتیاز دهی خبرگان'!$K99=3,'طیف فازی'!$D$4,IF('امتیاز دهی خبرگان'!$K99=4,'طیف فازی'!$D$5,'طیف فازی'!$D$6)))))</f>
        <v>1</v>
      </c>
      <c r="AD99" s="17">
        <f>IF('امتیاز دهی خبرگان'!$L99=0,0,IF('امتیاز دهی خبرگان'!$L99=1,'طیف فازی'!$B$2,IF('امتیاز دهی خبرگان'!$L99=2,'طیف فازی'!$B$3,IF('امتیاز دهی خبرگان'!$L99=3,'طیف فازی'!$B$4,IF('امتیاز دهی خبرگان'!$L99=4,'طیف فازی'!$B$5,'طیف فازی'!$B$6)))))</f>
        <v>0.75</v>
      </c>
      <c r="AE99" s="18">
        <f>IF('امتیاز دهی خبرگان'!$L99=0,0,IF('امتیاز دهی خبرگان'!$L99=1,'طیف فازی'!$C$2,IF('امتیاز دهی خبرگان'!$L99=2,'طیف فازی'!$C$3,IF('امتیاز دهی خبرگان'!$L99=3,'طیف فازی'!$C$4,IF('امتیاز دهی خبرگان'!$L99=4,'طیف فازی'!$C$5,'طیف فازی'!$C$6)))))</f>
        <v>1</v>
      </c>
      <c r="AF99" s="19">
        <f>IF('امتیاز دهی خبرگان'!$L99=0,0,IF('امتیاز دهی خبرگان'!$L99=1,'طیف فازی'!$D$2,IF('امتیاز دهی خبرگان'!$L99=2,'طیف فازی'!$D$3,IF('امتیاز دهی خبرگان'!$L99=3,'طیف فازی'!$D$4,IF('امتیاز دهی خبرگان'!$L99=4,'طیف فازی'!$D$5,'طیف فازی'!$D$6)))))</f>
        <v>1</v>
      </c>
      <c r="AG99" s="17">
        <f>IF('امتیاز دهی خبرگان'!$M99=0,0,IF('امتیاز دهی خبرگان'!$M99=1,'طیف فازی'!$B$2,IF('امتیاز دهی خبرگان'!$M99=2,'طیف فازی'!$B$3,IF('امتیاز دهی خبرگان'!$M99=3,'طیف فازی'!$B$4,IF('امتیاز دهی خبرگان'!$M99=4,'طیف فازی'!$B$5,'طیف فازی'!$B$6)))))</f>
        <v>0.5</v>
      </c>
      <c r="AH99" s="18">
        <f>IF('امتیاز دهی خبرگان'!$M99=0,0,IF('امتیاز دهی خبرگان'!$M99=1,'طیف فازی'!$C$2,IF('امتیاز دهی خبرگان'!$M99=2,'طیف فازی'!$C$3,IF('امتیاز دهی خبرگان'!$M99=3,'طیف فازی'!$C$4,IF('امتیاز دهی خبرگان'!$M99=4,'طیف فازی'!$C$5,'طیف فازی'!$C$6)))))</f>
        <v>0.75</v>
      </c>
      <c r="AI99" s="19">
        <f>IF('امتیاز دهی خبرگان'!$M99=0,0,IF('امتیاز دهی خبرگان'!$M99=1,'طیف فازی'!$D$2,IF('امتیاز دهی خبرگان'!$M99=2,'طیف فازی'!$D$3,IF('امتیاز دهی خبرگان'!$M99=3,'طیف فازی'!$D$4,IF('امتیاز دهی خبرگان'!$M99=4,'طیف فازی'!$D$5,'طیف فازی'!$D$6)))))</f>
        <v>1</v>
      </c>
      <c r="AJ99" s="17">
        <f>IF('امتیاز دهی خبرگان'!$N99=0,0,IF('امتیاز دهی خبرگان'!$N99=1,'طیف فازی'!$B$2,IF('امتیاز دهی خبرگان'!$N99=2,'طیف فازی'!$B$3,IF('امتیاز دهی خبرگان'!$N99=3,'طیف فازی'!$B$4,IF('امتیاز دهی خبرگان'!$N99=4,'طیف فازی'!$B$5,'طیف فازی'!$B$6)))))</f>
        <v>0.75</v>
      </c>
      <c r="AK99" s="18">
        <f>IF('امتیاز دهی خبرگان'!$N99=0,0,IF('امتیاز دهی خبرگان'!$N99=1,'طیف فازی'!$C$2,IF('امتیاز دهی خبرگان'!$N99=2,'طیف فازی'!$C$3,IF('امتیاز دهی خبرگان'!$N99=3,'طیف فازی'!$C$4,IF('امتیاز دهی خبرگان'!$N99=4,'طیف فازی'!$C$5,'طیف فازی'!$C$6)))))</f>
        <v>1</v>
      </c>
      <c r="AL99" s="19">
        <f>IF('امتیاز دهی خبرگان'!$N99=0,0,IF('امتیاز دهی خبرگان'!$N99=1,'طیف فازی'!$D$2,IF('امتیاز دهی خبرگان'!$N99=2,'طیف فازی'!$D$3,IF('امتیاز دهی خبرگان'!$N99=3,'طیف فازی'!$D$4,IF('امتیاز دهی خبرگان'!$N99=4,'طیف فازی'!$D$5,'طیف فازی'!$D$6)))))</f>
        <v>1</v>
      </c>
      <c r="AM99" s="23">
        <f t="shared" si="9"/>
        <v>7</v>
      </c>
      <c r="AN99" s="23">
        <f t="shared" si="10"/>
        <v>9.75</v>
      </c>
      <c r="AO99" s="24">
        <f t="shared" si="11"/>
        <v>11.25</v>
      </c>
      <c r="AP99" s="25">
        <f t="shared" si="12"/>
        <v>0.58333333333333337</v>
      </c>
      <c r="AQ99" s="23">
        <f t="shared" si="13"/>
        <v>0.8125</v>
      </c>
      <c r="AR99" s="24">
        <f t="shared" si="14"/>
        <v>0.9375</v>
      </c>
      <c r="AS99" s="24">
        <f t="shared" si="15"/>
        <v>0.77777777777777779</v>
      </c>
      <c r="AT99" s="24" t="str">
        <f t="shared" si="16"/>
        <v>Pass</v>
      </c>
    </row>
    <row r="100" spans="2:46" ht="23.25" customHeight="1" thickBot="1" x14ac:dyDescent="0.85">
      <c r="B100" s="2">
        <v>96</v>
      </c>
      <c r="C100" s="17">
        <f>IF('امتیاز دهی خبرگان'!$C100=0,0,IF('امتیاز دهی خبرگان'!$C100=1,'طیف فازی'!$B$2,IF('امتیاز دهی خبرگان'!$C100=2,'طیف فازی'!$B$3,IF('امتیاز دهی خبرگان'!$C100=3,'طیف فازی'!$B$4,IF('امتیاز دهی خبرگان'!$C100=4,'طیف فازی'!$B$5,'طیف فازی'!$B$6)))))</f>
        <v>0.75</v>
      </c>
      <c r="D100" s="18">
        <f>IF('امتیاز دهی خبرگان'!$C100=0,0,IF('امتیاز دهی خبرگان'!$C100=1,'طیف فازی'!$C$2,IF('امتیاز دهی خبرگان'!$C100=2,'طیف فازی'!$C$3,IF('امتیاز دهی خبرگان'!$C100=3,'طیف فازی'!$C$4,IF('امتیاز دهی خبرگان'!$C100=4,'طیف فازی'!$C$5,'طیف فازی'!$C$6)))))</f>
        <v>1</v>
      </c>
      <c r="E100" s="19">
        <f>IF('امتیاز دهی خبرگان'!$C100=0,0,IF('امتیاز دهی خبرگان'!$C100=1,'طیف فازی'!$D$2,IF('امتیاز دهی خبرگان'!$C100=2,'طیف فازی'!$D$3,IF('امتیاز دهی خبرگان'!$C100=3,'طیف فازی'!$D$4,IF('امتیاز دهی خبرگان'!$C100=4,'طیف فازی'!$D$5,'طیف فازی'!$D$6)))))</f>
        <v>1</v>
      </c>
      <c r="F100" s="20">
        <f>IF('امتیاز دهی خبرگان'!$D100=0,0,IF('امتیاز دهی خبرگان'!$D100=1,'طیف فازی'!$B$2,IF('امتیاز دهی خبرگان'!$D100=2,'طیف فازی'!$B$3,IF('امتیاز دهی خبرگان'!$D100=3,'طیف فازی'!$B$4,IF('امتیاز دهی خبرگان'!$D100=4,'طیف فازی'!$B$5,'طیف فازی'!$B$6)))))</f>
        <v>0.5</v>
      </c>
      <c r="G100" s="21">
        <f>IF('امتیاز دهی خبرگان'!$D100=0,0,IF('امتیاز دهی خبرگان'!$D100=1,'طیف فازی'!$D$2,IF('امتیاز دهی خبرگان'!$D100=2,'طیف فازی'!$C$3,IF('امتیاز دهی خبرگان'!$D100=3,'طیف فازی'!$C$4,IF('امتیاز دهی خبرگان'!$D100=4,'طیف فازی'!$C$5,'طیف فازی'!$C$6)))))</f>
        <v>0.75</v>
      </c>
      <c r="H100" s="22">
        <f>IF('امتیاز دهی خبرگان'!$D100=0,0,IF('امتیاز دهی خبرگان'!$D100=1,'طیف فازی'!$D$2,IF('امتیاز دهی خبرگان'!$D100=2,'طیف فازی'!$D$3,IF('امتیاز دهی خبرگان'!$D100=3,'طیف فازی'!$D$4,IF('امتیاز دهی خبرگان'!$D100=4,'طیف فازی'!$D$5,'طیف فازی'!$D$6)))))</f>
        <v>1</v>
      </c>
      <c r="I100" s="17">
        <f>IF('امتیاز دهی خبرگان'!$E100=0,0,IF('امتیاز دهی خبرگان'!$E100=1,'طیف فازی'!$B$2,IF('امتیاز دهی خبرگان'!$E100=2,'طیف فازی'!$B$3,IF('امتیاز دهی خبرگان'!$E100=3,'طیف فازی'!$B$4,IF('امتیاز دهی خبرگان'!$E100=4,'طیف فازی'!$B$5,'طیف فازی'!$B$6)))))</f>
        <v>0.5</v>
      </c>
      <c r="J100" s="18">
        <f>IF('امتیاز دهی خبرگان'!$E100=0,0,IF('امتیاز دهی خبرگان'!$E100=1,'طیف فازی'!$C$2,IF('امتیاز دهی خبرگان'!$E100=2,'طیف فازی'!$C$3,IF('امتیاز دهی خبرگان'!$E100=3,'طیف فازی'!$C$4,IF('امتیاز دهی خبرگان'!$E100=4,'طیف فازی'!$C$5,'طیف فازی'!$C$6)))))</f>
        <v>0.75</v>
      </c>
      <c r="K100" s="19">
        <f>IF('امتیاز دهی خبرگان'!$E100=0,0,IF('امتیاز دهی خبرگان'!$E100=1,'طیف فازی'!$D$2,IF('امتیاز دهی خبرگان'!$E100=2,'طیف فازی'!$D$3,IF('امتیاز دهی خبرگان'!$E100=3,'طیف فازی'!$D$4,IF('امتیاز دهی خبرگان'!$E100=4,'طیف فازی'!$D$5,'طیف فازی'!$D$6)))))</f>
        <v>1</v>
      </c>
      <c r="L100" s="17">
        <f>IF('امتیاز دهی خبرگان'!$F100=0,0,IF('امتیاز دهی خبرگان'!$F100=1,'طیف فازی'!$B$2,IF('امتیاز دهی خبرگان'!$F100=2,'طیف فازی'!$B$3,IF('امتیاز دهی خبرگان'!$F100=3,'طیف فازی'!$B$4,IF('امتیاز دهی خبرگان'!$F100=4,'طیف فازی'!$B$5,'طیف فازی'!$B$6)))))</f>
        <v>0.25</v>
      </c>
      <c r="M100" s="18">
        <f>IF('امتیاز دهی خبرگان'!$F100=0,0,IF('امتیاز دهی خبرگان'!$F100=1,'طیف فازی'!$C$2,IF('امتیاز دهی خبرگان'!$F100=2,'طیف فازی'!$C$3,IF('امتیاز دهی خبرگان'!$F100=3,'طیف فازی'!$C$4,IF('امتیاز دهی خبرگان'!$F100=4,'طیف فازی'!$C$5,'طیف فازی'!$C$6)))))</f>
        <v>0.5</v>
      </c>
      <c r="N100" s="19">
        <f>IF('امتیاز دهی خبرگان'!$F100=0,0,IF('امتیاز دهی خبرگان'!$F100=1,'طیف فازی'!$D$2,IF('امتیاز دهی خبرگان'!$F100=2,'طیف فازی'!$D$3,IF('امتیاز دهی خبرگان'!$F100=3,'طیف فازی'!$D$4,IF('امتیاز دهی خبرگان'!$F100=4,'طیف فازی'!$D$5,'طیف فازی'!$D$6)))))</f>
        <v>0.75</v>
      </c>
      <c r="O100" s="17">
        <f>IF('امتیاز دهی خبرگان'!$G100=0,0,IF('امتیاز دهی خبرگان'!$G100=1,'طیف فازی'!$B$2,IF('امتیاز دهی خبرگان'!$G100=2,'طیف فازی'!$B$3,IF('امتیاز دهی خبرگان'!$G100=3,'طیف فازی'!$B$4,IF('امتیاز دهی خبرگان'!$G100=4,'طیف فازی'!$B$5,'طیف فازی'!$B$6)))))</f>
        <v>0.75</v>
      </c>
      <c r="P100" s="18">
        <f>IF('امتیاز دهی خبرگان'!$G100=0,0,IF('امتیاز دهی خبرگان'!$G100=1,'طیف فازی'!$C$2,IF('امتیاز دهی خبرگان'!$G100=2,'طیف فازی'!$C$3,IF('امتیاز دهی خبرگان'!$G100=3,'طیف فازی'!$C$4,IF('امتیاز دهی خبرگان'!$G100=4,'طیف فازی'!$C$5,'طیف فازی'!$C$6)))))</f>
        <v>1</v>
      </c>
      <c r="Q100" s="19">
        <f>IF('امتیاز دهی خبرگان'!$G100=0,0,IF('امتیاز دهی خبرگان'!$G100=1,'طیف فازی'!$D$2,IF('امتیاز دهی خبرگان'!$G100=2,'طیف فازی'!$D$3,IF('امتیاز دهی خبرگان'!$G100=3,'طیف فازی'!$D$4,IF('امتیاز دهی خبرگان'!$G100=4,'طیف فازی'!$D$5,'طیف فازی'!$D$6)))))</f>
        <v>1</v>
      </c>
      <c r="R100" s="17">
        <f>IF('امتیاز دهی خبرگان'!$H100=0,0,IF('امتیاز دهی خبرگان'!$H100=1,'طیف فازی'!$B$2,IF('امتیاز دهی خبرگان'!$H100=2,'طیف فازی'!$B$3,IF('امتیاز دهی خبرگان'!$H100=3,'طیف فازی'!$B$4,IF('امتیاز دهی خبرگان'!$H100=4,'طیف فازی'!$B$5,'طیف فازی'!$B$6)))))</f>
        <v>0.5</v>
      </c>
      <c r="S100" s="18">
        <f>IF('امتیاز دهی خبرگان'!$H100=0,0,IF('امتیاز دهی خبرگان'!$H100=1,'طیف فازی'!$C$2,IF('امتیاز دهی خبرگان'!$H100=2,'طیف فازی'!$C$3,IF('امتیاز دهی خبرگان'!$H100=3,'طیف فازی'!$C$4,IF('امتیاز دهی خبرگان'!$H100=4,'طیف فازی'!$C$5,'طیف فازی'!$C$6)))))</f>
        <v>0.75</v>
      </c>
      <c r="T100" s="19">
        <f>IF('امتیاز دهی خبرگان'!$H100=0,0,IF('امتیاز دهی خبرگان'!$H100=1,'طیف فازی'!$D$2,IF('امتیاز دهی خبرگان'!$H100=2,'طیف فازی'!$D$3,IF('امتیاز دهی خبرگان'!$H100=3,'طیف فازی'!$D$4,IF('امتیاز دهی خبرگان'!$H100=4,'طیف فازی'!$D$5,'طیف فازی'!$D$6)))))</f>
        <v>1</v>
      </c>
      <c r="U100" s="17">
        <f>IF('امتیاز دهی خبرگان'!$I100=0,0,IF('امتیاز دهی خبرگان'!$I100=1,'طیف فازی'!$B$2,IF('امتیاز دهی خبرگان'!$I100=2,'طیف فازی'!$B$3,IF('امتیاز دهی خبرگان'!$I100=3,'طیف فازی'!$B$4,IF('امتیاز دهی خبرگان'!$I100=4,'طیف فازی'!$B$5,'طیف فازی'!$B$6)))))</f>
        <v>0.25</v>
      </c>
      <c r="V100" s="18">
        <f>IF('امتیاز دهی خبرگان'!$I100=0,0,IF('امتیاز دهی خبرگان'!$I100=1,'طیف فازی'!$C$2,IF('امتیاز دهی خبرگان'!$I100=2,'طیف فازی'!$C$3,IF('امتیاز دهی خبرگان'!$I100=3,'طیف فازی'!$C$4,IF('امتیاز دهی خبرگان'!$I100=4,'طیف فازی'!$C$5,'طیف فازی'!$C$6)))))</f>
        <v>0.5</v>
      </c>
      <c r="W100" s="19">
        <f>IF('امتیاز دهی خبرگان'!$I100=0,0,IF('امتیاز دهی خبرگان'!$I100=1,'طیف فازی'!$D$2,IF('امتیاز دهی خبرگان'!$I100=2,'طیف فازی'!$D$3,IF('امتیاز دهی خبرگان'!$I100=3,'طیف فازی'!$D$4,IF('امتیاز دهی خبرگان'!$I100=4,'طیف فازی'!$D$5,'طیف فازی'!$D$6)))))</f>
        <v>0.75</v>
      </c>
      <c r="X100" s="17">
        <f>IF('امتیاز دهی خبرگان'!$J100=0,0,IF('امتیاز دهی خبرگان'!$J100=1,'طیف فازی'!$B$2,IF('امتیاز دهی خبرگان'!$J100=2,'طیف فازی'!$B$3,IF('امتیاز دهی خبرگان'!$J100=3,'طیف فازی'!$B$4,IF('امتیاز دهی خبرگان'!$J100=4,'طیف فازی'!$B$5,'طیف فازی'!$B$6)))))</f>
        <v>0.5</v>
      </c>
      <c r="Y100" s="18">
        <f>IF('امتیاز دهی خبرگان'!$J100=0,0,IF('امتیاز دهی خبرگان'!$J100=1,'طیف فازی'!$C$2,IF('امتیاز دهی خبرگان'!$J100=2,'طیف فازی'!$C$3,IF('امتیاز دهی خبرگان'!$J100=3,'طیف فازی'!$C$4,IF('امتیاز دهی خبرگان'!$J100=4,'طیف فازی'!$C$5,'طیف فازی'!$C$6)))))</f>
        <v>0.75</v>
      </c>
      <c r="Z100" s="19">
        <f>IF('امتیاز دهی خبرگان'!$J100=0,0,IF('امتیاز دهی خبرگان'!$J100=1,'طیف فازی'!$D$2,IF('امتیاز دهی خبرگان'!$J100=2,'طیف فازی'!$D$3,IF('امتیاز دهی خبرگان'!$J100=3,'طیف فازی'!$D$4,IF('امتیاز دهی خبرگان'!$J100=4,'طیف فازی'!$D$5,'طیف فازی'!$D$6)))))</f>
        <v>1</v>
      </c>
      <c r="AA100" s="17">
        <f>IF('امتیاز دهی خبرگان'!$K100=0,0,IF('امتیاز دهی خبرگان'!$K100=1,'طیف فازی'!$B$2,IF('امتیاز دهی خبرگان'!$K100=2,'طیف فازی'!$B$3,IF('امتیاز دهی خبرگان'!$K100=3,'طیف فازی'!$B$4,IF('امتیاز دهی خبرگان'!$K100=4,'طیف فازی'!$B$5,'طیف فازی'!$B$6)))))</f>
        <v>0.75</v>
      </c>
      <c r="AB100" s="18">
        <f>IF('امتیاز دهی خبرگان'!$K100=0,0,IF('امتیاز دهی خبرگان'!$K100=1,'طیف فازی'!$C$2,IF('امتیاز دهی خبرگان'!$K100=2,'طیف فازی'!$C$3,IF('امتیاز دهی خبرگان'!$K100=3,'طیف فازی'!$C$4,IF('امتیاز دهی خبرگان'!$K100=4,'طیف فازی'!$C$5,'طیف فازی'!$C$6)))))</f>
        <v>1</v>
      </c>
      <c r="AC100" s="19">
        <f>IF('امتیاز دهی خبرگان'!$K100=0,0,IF('امتیاز دهی خبرگان'!$K100=1,'طیف فازی'!$D$2,IF('امتیاز دهی خبرگان'!$K100=2,'طیف فازی'!$D$3,IF('امتیاز دهی خبرگان'!$K100=3,'طیف فازی'!$D$4,IF('امتیاز دهی خبرگان'!$K100=4,'طیف فازی'!$D$5,'طیف فازی'!$D$6)))))</f>
        <v>1</v>
      </c>
      <c r="AD100" s="17">
        <f>IF('امتیاز دهی خبرگان'!$L100=0,0,IF('امتیاز دهی خبرگان'!$L100=1,'طیف فازی'!$B$2,IF('امتیاز دهی خبرگان'!$L100=2,'طیف فازی'!$B$3,IF('امتیاز دهی خبرگان'!$L100=3,'طیف فازی'!$B$4,IF('امتیاز دهی خبرگان'!$L100=4,'طیف فازی'!$B$5,'طیف فازی'!$B$6)))))</f>
        <v>0.75</v>
      </c>
      <c r="AE100" s="18">
        <f>IF('امتیاز دهی خبرگان'!$L100=0,0,IF('امتیاز دهی خبرگان'!$L100=1,'طیف فازی'!$C$2,IF('امتیاز دهی خبرگان'!$L100=2,'طیف فازی'!$C$3,IF('امتیاز دهی خبرگان'!$L100=3,'طیف فازی'!$C$4,IF('امتیاز دهی خبرگان'!$L100=4,'طیف فازی'!$C$5,'طیف فازی'!$C$6)))))</f>
        <v>1</v>
      </c>
      <c r="AF100" s="19">
        <f>IF('امتیاز دهی خبرگان'!$L100=0,0,IF('امتیاز دهی خبرگان'!$L100=1,'طیف فازی'!$D$2,IF('امتیاز دهی خبرگان'!$L100=2,'طیف فازی'!$D$3,IF('امتیاز دهی خبرگان'!$L100=3,'طیف فازی'!$D$4,IF('امتیاز دهی خبرگان'!$L100=4,'طیف فازی'!$D$5,'طیف فازی'!$D$6)))))</f>
        <v>1</v>
      </c>
      <c r="AG100" s="17">
        <f>IF('امتیاز دهی خبرگان'!$M100=0,0,IF('امتیاز دهی خبرگان'!$M100=1,'طیف فازی'!$B$2,IF('امتیاز دهی خبرگان'!$M100=2,'طیف فازی'!$B$3,IF('امتیاز دهی خبرگان'!$M100=3,'طیف فازی'!$B$4,IF('امتیاز دهی خبرگان'!$M100=4,'طیف فازی'!$B$5,'طیف فازی'!$B$6)))))</f>
        <v>0.5</v>
      </c>
      <c r="AH100" s="18">
        <f>IF('امتیاز دهی خبرگان'!$M100=0,0,IF('امتیاز دهی خبرگان'!$M100=1,'طیف فازی'!$C$2,IF('امتیاز دهی خبرگان'!$M100=2,'طیف فازی'!$C$3,IF('امتیاز دهی خبرگان'!$M100=3,'طیف فازی'!$C$4,IF('امتیاز دهی خبرگان'!$M100=4,'طیف فازی'!$C$5,'طیف فازی'!$C$6)))))</f>
        <v>0.75</v>
      </c>
      <c r="AI100" s="19">
        <f>IF('امتیاز دهی خبرگان'!$M100=0,0,IF('امتیاز دهی خبرگان'!$M100=1,'طیف فازی'!$D$2,IF('امتیاز دهی خبرگان'!$M100=2,'طیف فازی'!$D$3,IF('امتیاز دهی خبرگان'!$M100=3,'طیف فازی'!$D$4,IF('امتیاز دهی خبرگان'!$M100=4,'طیف فازی'!$D$5,'طیف فازی'!$D$6)))))</f>
        <v>1</v>
      </c>
      <c r="AJ100" s="17">
        <f>IF('امتیاز دهی خبرگان'!$N100=0,0,IF('امتیاز دهی خبرگان'!$N100=1,'طیف فازی'!$B$2,IF('امتیاز دهی خبرگان'!$N100=2,'طیف فازی'!$B$3,IF('امتیاز دهی خبرگان'!$N100=3,'طیف فازی'!$B$4,IF('امتیاز دهی خبرگان'!$N100=4,'طیف فازی'!$B$5,'طیف فازی'!$B$6)))))</f>
        <v>0.5</v>
      </c>
      <c r="AK100" s="18">
        <f>IF('امتیاز دهی خبرگان'!$N100=0,0,IF('امتیاز دهی خبرگان'!$N100=1,'طیف فازی'!$C$2,IF('امتیاز دهی خبرگان'!$N100=2,'طیف فازی'!$C$3,IF('امتیاز دهی خبرگان'!$N100=3,'طیف فازی'!$C$4,IF('امتیاز دهی خبرگان'!$N100=4,'طیف فازی'!$C$5,'طیف فازی'!$C$6)))))</f>
        <v>0.75</v>
      </c>
      <c r="AL100" s="19">
        <f>IF('امتیاز دهی خبرگان'!$N100=0,0,IF('امتیاز دهی خبرگان'!$N100=1,'طیف فازی'!$D$2,IF('امتیاز دهی خبرگان'!$N100=2,'طیف فازی'!$D$3,IF('امتیاز دهی خبرگان'!$N100=3,'طیف فازی'!$D$4,IF('امتیاز دهی خبرگان'!$N100=4,'طیف فازی'!$D$5,'طیف فازی'!$D$6)))))</f>
        <v>1</v>
      </c>
      <c r="AM100" s="23">
        <f t="shared" si="9"/>
        <v>6.5</v>
      </c>
      <c r="AN100" s="23">
        <f t="shared" si="10"/>
        <v>9.5</v>
      </c>
      <c r="AO100" s="24">
        <f t="shared" si="11"/>
        <v>11.5</v>
      </c>
      <c r="AP100" s="25">
        <f t="shared" si="12"/>
        <v>0.54166666666666663</v>
      </c>
      <c r="AQ100" s="23">
        <f t="shared" si="13"/>
        <v>0.79166666666666663</v>
      </c>
      <c r="AR100" s="24">
        <f t="shared" si="14"/>
        <v>0.95833333333333337</v>
      </c>
      <c r="AS100" s="24">
        <f t="shared" si="15"/>
        <v>0.76388888888888884</v>
      </c>
      <c r="AT100" s="24" t="str">
        <f t="shared" si="16"/>
        <v>Pass</v>
      </c>
    </row>
    <row r="101" spans="2:46" ht="23.25" customHeight="1" thickBot="1" x14ac:dyDescent="0.85">
      <c r="B101" s="2">
        <v>97</v>
      </c>
      <c r="C101" s="17">
        <f>IF('امتیاز دهی خبرگان'!$C101=0,0,IF('امتیاز دهی خبرگان'!$C101=1,'طیف فازی'!$B$2,IF('امتیاز دهی خبرگان'!$C101=2,'طیف فازی'!$B$3,IF('امتیاز دهی خبرگان'!$C101=3,'طیف فازی'!$B$4,IF('امتیاز دهی خبرگان'!$C101=4,'طیف فازی'!$B$5,'طیف فازی'!$B$6)))))</f>
        <v>0.75</v>
      </c>
      <c r="D101" s="18">
        <f>IF('امتیاز دهی خبرگان'!$C101=0,0,IF('امتیاز دهی خبرگان'!$C101=1,'طیف فازی'!$C$2,IF('امتیاز دهی خبرگان'!$C101=2,'طیف فازی'!$C$3,IF('امتیاز دهی خبرگان'!$C101=3,'طیف فازی'!$C$4,IF('امتیاز دهی خبرگان'!$C101=4,'طیف فازی'!$C$5,'طیف فازی'!$C$6)))))</f>
        <v>1</v>
      </c>
      <c r="E101" s="19">
        <f>IF('امتیاز دهی خبرگان'!$C101=0,0,IF('امتیاز دهی خبرگان'!$C101=1,'طیف فازی'!$D$2,IF('امتیاز دهی خبرگان'!$C101=2,'طیف فازی'!$D$3,IF('امتیاز دهی خبرگان'!$C101=3,'طیف فازی'!$D$4,IF('امتیاز دهی خبرگان'!$C101=4,'طیف فازی'!$D$5,'طیف فازی'!$D$6)))))</f>
        <v>1</v>
      </c>
      <c r="F101" s="20">
        <f>IF('امتیاز دهی خبرگان'!$D101=0,0,IF('امتیاز دهی خبرگان'!$D101=1,'طیف فازی'!$B$2,IF('امتیاز دهی خبرگان'!$D101=2,'طیف فازی'!$B$3,IF('امتیاز دهی خبرگان'!$D101=3,'طیف فازی'!$B$4,IF('امتیاز دهی خبرگان'!$D101=4,'طیف فازی'!$B$5,'طیف فازی'!$B$6)))))</f>
        <v>0.75</v>
      </c>
      <c r="G101" s="21">
        <f>IF('امتیاز دهی خبرگان'!$D101=0,0,IF('امتیاز دهی خبرگان'!$D101=1,'طیف فازی'!$D$2,IF('امتیاز دهی خبرگان'!$D101=2,'طیف فازی'!$C$3,IF('امتیاز دهی خبرگان'!$D101=3,'طیف فازی'!$C$4,IF('امتیاز دهی خبرگان'!$D101=4,'طیف فازی'!$C$5,'طیف فازی'!$C$6)))))</f>
        <v>1</v>
      </c>
      <c r="H101" s="22">
        <f>IF('امتیاز دهی خبرگان'!$D101=0,0,IF('امتیاز دهی خبرگان'!$D101=1,'طیف فازی'!$D$2,IF('امتیاز دهی خبرگان'!$D101=2,'طیف فازی'!$D$3,IF('امتیاز دهی خبرگان'!$D101=3,'طیف فازی'!$D$4,IF('امتیاز دهی خبرگان'!$D101=4,'طیف فازی'!$D$5,'طیف فازی'!$D$6)))))</f>
        <v>1</v>
      </c>
      <c r="I101" s="17">
        <f>IF('امتیاز دهی خبرگان'!$E101=0,0,IF('امتیاز دهی خبرگان'!$E101=1,'طیف فازی'!$B$2,IF('امتیاز دهی خبرگان'!$E101=2,'طیف فازی'!$B$3,IF('امتیاز دهی خبرگان'!$E101=3,'طیف فازی'!$B$4,IF('امتیاز دهی خبرگان'!$E101=4,'طیف فازی'!$B$5,'طیف فازی'!$B$6)))))</f>
        <v>0.25</v>
      </c>
      <c r="J101" s="18">
        <f>IF('امتیاز دهی خبرگان'!$E101=0,0,IF('امتیاز دهی خبرگان'!$E101=1,'طیف فازی'!$C$2,IF('امتیاز دهی خبرگان'!$E101=2,'طیف فازی'!$C$3,IF('امتیاز دهی خبرگان'!$E101=3,'طیف فازی'!$C$4,IF('امتیاز دهی خبرگان'!$E101=4,'طیف فازی'!$C$5,'طیف فازی'!$C$6)))))</f>
        <v>0.5</v>
      </c>
      <c r="K101" s="19">
        <f>IF('امتیاز دهی خبرگان'!$E101=0,0,IF('امتیاز دهی خبرگان'!$E101=1,'طیف فازی'!$D$2,IF('امتیاز دهی خبرگان'!$E101=2,'طیف فازی'!$D$3,IF('امتیاز دهی خبرگان'!$E101=3,'طیف فازی'!$D$4,IF('امتیاز دهی خبرگان'!$E101=4,'طیف فازی'!$D$5,'طیف فازی'!$D$6)))))</f>
        <v>0.75</v>
      </c>
      <c r="L101" s="17">
        <f>IF('امتیاز دهی خبرگان'!$F101=0,0,IF('امتیاز دهی خبرگان'!$F101=1,'طیف فازی'!$B$2,IF('امتیاز دهی خبرگان'!$F101=2,'طیف فازی'!$B$3,IF('امتیاز دهی خبرگان'!$F101=3,'طیف فازی'!$B$4,IF('امتیاز دهی خبرگان'!$F101=4,'طیف فازی'!$B$5,'طیف فازی'!$B$6)))))</f>
        <v>0.75</v>
      </c>
      <c r="M101" s="18">
        <f>IF('امتیاز دهی خبرگان'!$F101=0,0,IF('امتیاز دهی خبرگان'!$F101=1,'طیف فازی'!$C$2,IF('امتیاز دهی خبرگان'!$F101=2,'طیف فازی'!$C$3,IF('امتیاز دهی خبرگان'!$F101=3,'طیف فازی'!$C$4,IF('امتیاز دهی خبرگان'!$F101=4,'طیف فازی'!$C$5,'طیف فازی'!$C$6)))))</f>
        <v>1</v>
      </c>
      <c r="N101" s="19">
        <f>IF('امتیاز دهی خبرگان'!$F101=0,0,IF('امتیاز دهی خبرگان'!$F101=1,'طیف فازی'!$D$2,IF('امتیاز دهی خبرگان'!$F101=2,'طیف فازی'!$D$3,IF('امتیاز دهی خبرگان'!$F101=3,'طیف فازی'!$D$4,IF('امتیاز دهی خبرگان'!$F101=4,'طیف فازی'!$D$5,'طیف فازی'!$D$6)))))</f>
        <v>1</v>
      </c>
      <c r="O101" s="17">
        <f>IF('امتیاز دهی خبرگان'!$G101=0,0,IF('امتیاز دهی خبرگان'!$G101=1,'طیف فازی'!$B$2,IF('امتیاز دهی خبرگان'!$G101=2,'طیف فازی'!$B$3,IF('امتیاز دهی خبرگان'!$G101=3,'طیف فازی'!$B$4,IF('امتیاز دهی خبرگان'!$G101=4,'طیف فازی'!$B$5,'طیف فازی'!$B$6)))))</f>
        <v>0.75</v>
      </c>
      <c r="P101" s="18">
        <f>IF('امتیاز دهی خبرگان'!$G101=0,0,IF('امتیاز دهی خبرگان'!$G101=1,'طیف فازی'!$C$2,IF('امتیاز دهی خبرگان'!$G101=2,'طیف فازی'!$C$3,IF('امتیاز دهی خبرگان'!$G101=3,'طیف فازی'!$C$4,IF('امتیاز دهی خبرگان'!$G101=4,'طیف فازی'!$C$5,'طیف فازی'!$C$6)))))</f>
        <v>1</v>
      </c>
      <c r="Q101" s="19">
        <f>IF('امتیاز دهی خبرگان'!$G101=0,0,IF('امتیاز دهی خبرگان'!$G101=1,'طیف فازی'!$D$2,IF('امتیاز دهی خبرگان'!$G101=2,'طیف فازی'!$D$3,IF('امتیاز دهی خبرگان'!$G101=3,'طیف فازی'!$D$4,IF('امتیاز دهی خبرگان'!$G101=4,'طیف فازی'!$D$5,'طیف فازی'!$D$6)))))</f>
        <v>1</v>
      </c>
      <c r="R101" s="17">
        <f>IF('امتیاز دهی خبرگان'!$H101=0,0,IF('امتیاز دهی خبرگان'!$H101=1,'طیف فازی'!$B$2,IF('امتیاز دهی خبرگان'!$H101=2,'طیف فازی'!$B$3,IF('امتیاز دهی خبرگان'!$H101=3,'طیف فازی'!$B$4,IF('امتیاز دهی خبرگان'!$H101=4,'طیف فازی'!$B$5,'طیف فازی'!$B$6)))))</f>
        <v>0.5</v>
      </c>
      <c r="S101" s="18">
        <f>IF('امتیاز دهی خبرگان'!$H101=0,0,IF('امتیاز دهی خبرگان'!$H101=1,'طیف فازی'!$C$2,IF('امتیاز دهی خبرگان'!$H101=2,'طیف فازی'!$C$3,IF('امتیاز دهی خبرگان'!$H101=3,'طیف فازی'!$C$4,IF('امتیاز دهی خبرگان'!$H101=4,'طیف فازی'!$C$5,'طیف فازی'!$C$6)))))</f>
        <v>0.75</v>
      </c>
      <c r="T101" s="19">
        <f>IF('امتیاز دهی خبرگان'!$H101=0,0,IF('امتیاز دهی خبرگان'!$H101=1,'طیف فازی'!$D$2,IF('امتیاز دهی خبرگان'!$H101=2,'طیف فازی'!$D$3,IF('امتیاز دهی خبرگان'!$H101=3,'طیف فازی'!$D$4,IF('امتیاز دهی خبرگان'!$H101=4,'طیف فازی'!$D$5,'طیف فازی'!$D$6)))))</f>
        <v>1</v>
      </c>
      <c r="U101" s="17">
        <f>IF('امتیاز دهی خبرگان'!$I101=0,0,IF('امتیاز دهی خبرگان'!$I101=1,'طیف فازی'!$B$2,IF('امتیاز دهی خبرگان'!$I101=2,'طیف فازی'!$B$3,IF('امتیاز دهی خبرگان'!$I101=3,'طیف فازی'!$B$4,IF('امتیاز دهی خبرگان'!$I101=4,'طیف فازی'!$B$5,'طیف فازی'!$B$6)))))</f>
        <v>0.25</v>
      </c>
      <c r="V101" s="18">
        <f>IF('امتیاز دهی خبرگان'!$I101=0,0,IF('امتیاز دهی خبرگان'!$I101=1,'طیف فازی'!$C$2,IF('امتیاز دهی خبرگان'!$I101=2,'طیف فازی'!$C$3,IF('امتیاز دهی خبرگان'!$I101=3,'طیف فازی'!$C$4,IF('امتیاز دهی خبرگان'!$I101=4,'طیف فازی'!$C$5,'طیف فازی'!$C$6)))))</f>
        <v>0.5</v>
      </c>
      <c r="W101" s="19">
        <f>IF('امتیاز دهی خبرگان'!$I101=0,0,IF('امتیاز دهی خبرگان'!$I101=1,'طیف فازی'!$D$2,IF('امتیاز دهی خبرگان'!$I101=2,'طیف فازی'!$D$3,IF('امتیاز دهی خبرگان'!$I101=3,'طیف فازی'!$D$4,IF('امتیاز دهی خبرگان'!$I101=4,'طیف فازی'!$D$5,'طیف فازی'!$D$6)))))</f>
        <v>0.75</v>
      </c>
      <c r="X101" s="17">
        <f>IF('امتیاز دهی خبرگان'!$J101=0,0,IF('امتیاز دهی خبرگان'!$J101=1,'طیف فازی'!$B$2,IF('امتیاز دهی خبرگان'!$J101=2,'طیف فازی'!$B$3,IF('امتیاز دهی خبرگان'!$J101=3,'طیف فازی'!$B$4,IF('امتیاز دهی خبرگان'!$J101=4,'طیف فازی'!$B$5,'طیف فازی'!$B$6)))))</f>
        <v>0.5</v>
      </c>
      <c r="Y101" s="18">
        <f>IF('امتیاز دهی خبرگان'!$J101=0,0,IF('امتیاز دهی خبرگان'!$J101=1,'طیف فازی'!$C$2,IF('امتیاز دهی خبرگان'!$J101=2,'طیف فازی'!$C$3,IF('امتیاز دهی خبرگان'!$J101=3,'طیف فازی'!$C$4,IF('امتیاز دهی خبرگان'!$J101=4,'طیف فازی'!$C$5,'طیف فازی'!$C$6)))))</f>
        <v>0.75</v>
      </c>
      <c r="Z101" s="19">
        <f>IF('امتیاز دهی خبرگان'!$J101=0,0,IF('امتیاز دهی خبرگان'!$J101=1,'طیف فازی'!$D$2,IF('امتیاز دهی خبرگان'!$J101=2,'طیف فازی'!$D$3,IF('امتیاز دهی خبرگان'!$J101=3,'طیف فازی'!$D$4,IF('امتیاز دهی خبرگان'!$J101=4,'طیف فازی'!$D$5,'طیف فازی'!$D$6)))))</f>
        <v>1</v>
      </c>
      <c r="AA101" s="17">
        <f>IF('امتیاز دهی خبرگان'!$K101=0,0,IF('امتیاز دهی خبرگان'!$K101=1,'طیف فازی'!$B$2,IF('امتیاز دهی خبرگان'!$K101=2,'طیف فازی'!$B$3,IF('امتیاز دهی خبرگان'!$K101=3,'طیف فازی'!$B$4,IF('امتیاز دهی خبرگان'!$K101=4,'طیف فازی'!$B$5,'طیف فازی'!$B$6)))))</f>
        <v>0.75</v>
      </c>
      <c r="AB101" s="18">
        <f>IF('امتیاز دهی خبرگان'!$K101=0,0,IF('امتیاز دهی خبرگان'!$K101=1,'طیف فازی'!$C$2,IF('امتیاز دهی خبرگان'!$K101=2,'طیف فازی'!$C$3,IF('امتیاز دهی خبرگان'!$K101=3,'طیف فازی'!$C$4,IF('امتیاز دهی خبرگان'!$K101=4,'طیف فازی'!$C$5,'طیف فازی'!$C$6)))))</f>
        <v>1</v>
      </c>
      <c r="AC101" s="19">
        <f>IF('امتیاز دهی خبرگان'!$K101=0,0,IF('امتیاز دهی خبرگان'!$K101=1,'طیف فازی'!$D$2,IF('امتیاز دهی خبرگان'!$K101=2,'طیف فازی'!$D$3,IF('امتیاز دهی خبرگان'!$K101=3,'طیف فازی'!$D$4,IF('امتیاز دهی خبرگان'!$K101=4,'طیف فازی'!$D$5,'طیف فازی'!$D$6)))))</f>
        <v>1</v>
      </c>
      <c r="AD101" s="17">
        <f>IF('امتیاز دهی خبرگان'!$L101=0,0,IF('امتیاز دهی خبرگان'!$L101=1,'طیف فازی'!$B$2,IF('امتیاز دهی خبرگان'!$L101=2,'طیف فازی'!$B$3,IF('امتیاز دهی خبرگان'!$L101=3,'طیف فازی'!$B$4,IF('امتیاز دهی خبرگان'!$L101=4,'طیف فازی'!$B$5,'طیف فازی'!$B$6)))))</f>
        <v>0.25</v>
      </c>
      <c r="AE101" s="18">
        <f>IF('امتیاز دهی خبرگان'!$L101=0,0,IF('امتیاز دهی خبرگان'!$L101=1,'طیف فازی'!$C$2,IF('امتیاز دهی خبرگان'!$L101=2,'طیف فازی'!$C$3,IF('امتیاز دهی خبرگان'!$L101=3,'طیف فازی'!$C$4,IF('امتیاز دهی خبرگان'!$L101=4,'طیف فازی'!$C$5,'طیف فازی'!$C$6)))))</f>
        <v>0.5</v>
      </c>
      <c r="AF101" s="19">
        <f>IF('امتیاز دهی خبرگان'!$L101=0,0,IF('امتیاز دهی خبرگان'!$L101=1,'طیف فازی'!$D$2,IF('امتیاز دهی خبرگان'!$L101=2,'طیف فازی'!$D$3,IF('امتیاز دهی خبرگان'!$L101=3,'طیف فازی'!$D$4,IF('امتیاز دهی خبرگان'!$L101=4,'طیف فازی'!$D$5,'طیف فازی'!$D$6)))))</f>
        <v>0.75</v>
      </c>
      <c r="AG101" s="17">
        <f>IF('امتیاز دهی خبرگان'!$M101=0,0,IF('امتیاز دهی خبرگان'!$M101=1,'طیف فازی'!$B$2,IF('امتیاز دهی خبرگان'!$M101=2,'طیف فازی'!$B$3,IF('امتیاز دهی خبرگان'!$M101=3,'طیف فازی'!$B$4,IF('امتیاز دهی خبرگان'!$M101=4,'طیف فازی'!$B$5,'طیف فازی'!$B$6)))))</f>
        <v>0.25</v>
      </c>
      <c r="AH101" s="18">
        <f>IF('امتیاز دهی خبرگان'!$M101=0,0,IF('امتیاز دهی خبرگان'!$M101=1,'طیف فازی'!$C$2,IF('امتیاز دهی خبرگان'!$M101=2,'طیف فازی'!$C$3,IF('امتیاز دهی خبرگان'!$M101=3,'طیف فازی'!$C$4,IF('امتیاز دهی خبرگان'!$M101=4,'طیف فازی'!$C$5,'طیف فازی'!$C$6)))))</f>
        <v>0.5</v>
      </c>
      <c r="AI101" s="19">
        <f>IF('امتیاز دهی خبرگان'!$M101=0,0,IF('امتیاز دهی خبرگان'!$M101=1,'طیف فازی'!$D$2,IF('امتیاز دهی خبرگان'!$M101=2,'طیف فازی'!$D$3,IF('امتیاز دهی خبرگان'!$M101=3,'طیف فازی'!$D$4,IF('امتیاز دهی خبرگان'!$M101=4,'طیف فازی'!$D$5,'طیف فازی'!$D$6)))))</f>
        <v>0.75</v>
      </c>
      <c r="AJ101" s="17">
        <f>IF('امتیاز دهی خبرگان'!$N101=0,0,IF('امتیاز دهی خبرگان'!$N101=1,'طیف فازی'!$B$2,IF('امتیاز دهی خبرگان'!$N101=2,'طیف فازی'!$B$3,IF('امتیاز دهی خبرگان'!$N101=3,'طیف فازی'!$B$4,IF('امتیاز دهی خبرگان'!$N101=4,'طیف فازی'!$B$5,'طیف فازی'!$B$6)))))</f>
        <v>0.75</v>
      </c>
      <c r="AK101" s="18">
        <f>IF('امتیاز دهی خبرگان'!$N101=0,0,IF('امتیاز دهی خبرگان'!$N101=1,'طیف فازی'!$C$2,IF('امتیاز دهی خبرگان'!$N101=2,'طیف فازی'!$C$3,IF('امتیاز دهی خبرگان'!$N101=3,'طیف فازی'!$C$4,IF('امتیاز دهی خبرگان'!$N101=4,'طیف فازی'!$C$5,'طیف فازی'!$C$6)))))</f>
        <v>1</v>
      </c>
      <c r="AL101" s="19">
        <f>IF('امتیاز دهی خبرگان'!$N101=0,0,IF('امتیاز دهی خبرگان'!$N101=1,'طیف فازی'!$D$2,IF('امتیاز دهی خبرگان'!$N101=2,'طیف فازی'!$D$3,IF('امتیاز دهی خبرگان'!$N101=3,'طیف فازی'!$D$4,IF('امتیاز دهی خبرگان'!$N101=4,'طیف فازی'!$D$5,'طیف فازی'!$D$6)))))</f>
        <v>1</v>
      </c>
      <c r="AM101" s="23">
        <f t="shared" si="9"/>
        <v>6.5</v>
      </c>
      <c r="AN101" s="23">
        <f t="shared" si="10"/>
        <v>9.5</v>
      </c>
      <c r="AO101" s="24">
        <f t="shared" si="11"/>
        <v>11</v>
      </c>
      <c r="AP101" s="25">
        <f t="shared" si="12"/>
        <v>0.54166666666666663</v>
      </c>
      <c r="AQ101" s="23">
        <f t="shared" si="13"/>
        <v>0.79166666666666663</v>
      </c>
      <c r="AR101" s="24">
        <f t="shared" si="14"/>
        <v>0.91666666666666663</v>
      </c>
      <c r="AS101" s="24">
        <f t="shared" si="15"/>
        <v>0.75</v>
      </c>
      <c r="AT101" s="24" t="str">
        <f t="shared" si="16"/>
        <v>Pass</v>
      </c>
    </row>
    <row r="102" spans="2:46" ht="23.25" customHeight="1" thickBot="1" x14ac:dyDescent="0.85">
      <c r="B102" s="2">
        <v>98</v>
      </c>
      <c r="C102" s="17">
        <f>IF('امتیاز دهی خبرگان'!$C102=0,0,IF('امتیاز دهی خبرگان'!$C102=1,'طیف فازی'!$B$2,IF('امتیاز دهی خبرگان'!$C102=2,'طیف فازی'!$B$3,IF('امتیاز دهی خبرگان'!$C102=3,'طیف فازی'!$B$4,IF('امتیاز دهی خبرگان'!$C102=4,'طیف فازی'!$B$5,'طیف فازی'!$B$6)))))</f>
        <v>0.75</v>
      </c>
      <c r="D102" s="18">
        <f>IF('امتیاز دهی خبرگان'!$C102=0,0,IF('امتیاز دهی خبرگان'!$C102=1,'طیف فازی'!$C$2,IF('امتیاز دهی خبرگان'!$C102=2,'طیف فازی'!$C$3,IF('امتیاز دهی خبرگان'!$C102=3,'طیف فازی'!$C$4,IF('امتیاز دهی خبرگان'!$C102=4,'طیف فازی'!$C$5,'طیف فازی'!$C$6)))))</f>
        <v>1</v>
      </c>
      <c r="E102" s="19">
        <f>IF('امتیاز دهی خبرگان'!$C102=0,0,IF('امتیاز دهی خبرگان'!$C102=1,'طیف فازی'!$D$2,IF('امتیاز دهی خبرگان'!$C102=2,'طیف فازی'!$D$3,IF('امتیاز دهی خبرگان'!$C102=3,'طیف فازی'!$D$4,IF('امتیاز دهی خبرگان'!$C102=4,'طیف فازی'!$D$5,'طیف فازی'!$D$6)))))</f>
        <v>1</v>
      </c>
      <c r="F102" s="20">
        <f>IF('امتیاز دهی خبرگان'!$D102=0,0,IF('امتیاز دهی خبرگان'!$D102=1,'طیف فازی'!$B$2,IF('امتیاز دهی خبرگان'!$D102=2,'طیف فازی'!$B$3,IF('امتیاز دهی خبرگان'!$D102=3,'طیف فازی'!$B$4,IF('امتیاز دهی خبرگان'!$D102=4,'طیف فازی'!$B$5,'طیف فازی'!$B$6)))))</f>
        <v>0.25</v>
      </c>
      <c r="G102" s="21">
        <f>IF('امتیاز دهی خبرگان'!$D102=0,0,IF('امتیاز دهی خبرگان'!$D102=1,'طیف فازی'!$D$2,IF('امتیاز دهی خبرگان'!$D102=2,'طیف فازی'!$C$3,IF('امتیاز دهی خبرگان'!$D102=3,'طیف فازی'!$C$4,IF('امتیاز دهی خبرگان'!$D102=4,'طیف فازی'!$C$5,'طیف فازی'!$C$6)))))</f>
        <v>0.5</v>
      </c>
      <c r="H102" s="22">
        <f>IF('امتیاز دهی خبرگان'!$D102=0,0,IF('امتیاز دهی خبرگان'!$D102=1,'طیف فازی'!$D$2,IF('امتیاز دهی خبرگان'!$D102=2,'طیف فازی'!$D$3,IF('امتیاز دهی خبرگان'!$D102=3,'طیف فازی'!$D$4,IF('امتیاز دهی خبرگان'!$D102=4,'طیف فازی'!$D$5,'طیف فازی'!$D$6)))))</f>
        <v>0.75</v>
      </c>
      <c r="I102" s="17">
        <f>IF('امتیاز دهی خبرگان'!$E102=0,0,IF('امتیاز دهی خبرگان'!$E102=1,'طیف فازی'!$B$2,IF('امتیاز دهی خبرگان'!$E102=2,'طیف فازی'!$B$3,IF('امتیاز دهی خبرگان'!$E102=3,'طیف فازی'!$B$4,IF('امتیاز دهی خبرگان'!$E102=4,'طیف فازی'!$B$5,'طیف فازی'!$B$6)))))</f>
        <v>0.75</v>
      </c>
      <c r="J102" s="18">
        <f>IF('امتیاز دهی خبرگان'!$E102=0,0,IF('امتیاز دهی خبرگان'!$E102=1,'طیف فازی'!$C$2,IF('امتیاز دهی خبرگان'!$E102=2,'طیف فازی'!$C$3,IF('امتیاز دهی خبرگان'!$E102=3,'طیف فازی'!$C$4,IF('امتیاز دهی خبرگان'!$E102=4,'طیف فازی'!$C$5,'طیف فازی'!$C$6)))))</f>
        <v>1</v>
      </c>
      <c r="K102" s="19">
        <f>IF('امتیاز دهی خبرگان'!$E102=0,0,IF('امتیاز دهی خبرگان'!$E102=1,'طیف فازی'!$D$2,IF('امتیاز دهی خبرگان'!$E102=2,'طیف فازی'!$D$3,IF('امتیاز دهی خبرگان'!$E102=3,'طیف فازی'!$D$4,IF('امتیاز دهی خبرگان'!$E102=4,'طیف فازی'!$D$5,'طیف فازی'!$D$6)))))</f>
        <v>1</v>
      </c>
      <c r="L102" s="17">
        <f>IF('امتیاز دهی خبرگان'!$F102=0,0,IF('امتیاز دهی خبرگان'!$F102=1,'طیف فازی'!$B$2,IF('امتیاز دهی خبرگان'!$F102=2,'طیف فازی'!$B$3,IF('امتیاز دهی خبرگان'!$F102=3,'طیف فازی'!$B$4,IF('امتیاز دهی خبرگان'!$F102=4,'طیف فازی'!$B$5,'طیف فازی'!$B$6)))))</f>
        <v>0.75</v>
      </c>
      <c r="M102" s="18">
        <f>IF('امتیاز دهی خبرگان'!$F102=0,0,IF('امتیاز دهی خبرگان'!$F102=1,'طیف فازی'!$C$2,IF('امتیاز دهی خبرگان'!$F102=2,'طیف فازی'!$C$3,IF('امتیاز دهی خبرگان'!$F102=3,'طیف فازی'!$C$4,IF('امتیاز دهی خبرگان'!$F102=4,'طیف فازی'!$C$5,'طیف فازی'!$C$6)))))</f>
        <v>1</v>
      </c>
      <c r="N102" s="19">
        <f>IF('امتیاز دهی خبرگان'!$F102=0,0,IF('امتیاز دهی خبرگان'!$F102=1,'طیف فازی'!$D$2,IF('امتیاز دهی خبرگان'!$F102=2,'طیف فازی'!$D$3,IF('امتیاز دهی خبرگان'!$F102=3,'طیف فازی'!$D$4,IF('امتیاز دهی خبرگان'!$F102=4,'طیف فازی'!$D$5,'طیف فازی'!$D$6)))))</f>
        <v>1</v>
      </c>
      <c r="O102" s="17">
        <f>IF('امتیاز دهی خبرگان'!$G102=0,0,IF('امتیاز دهی خبرگان'!$G102=1,'طیف فازی'!$B$2,IF('امتیاز دهی خبرگان'!$G102=2,'طیف فازی'!$B$3,IF('امتیاز دهی خبرگان'!$G102=3,'طیف فازی'!$B$4,IF('امتیاز دهی خبرگان'!$G102=4,'طیف فازی'!$B$5,'طیف فازی'!$B$6)))))</f>
        <v>0.75</v>
      </c>
      <c r="P102" s="18">
        <f>IF('امتیاز دهی خبرگان'!$G102=0,0,IF('امتیاز دهی خبرگان'!$G102=1,'طیف فازی'!$C$2,IF('امتیاز دهی خبرگان'!$G102=2,'طیف فازی'!$C$3,IF('امتیاز دهی خبرگان'!$G102=3,'طیف فازی'!$C$4,IF('امتیاز دهی خبرگان'!$G102=4,'طیف فازی'!$C$5,'طیف فازی'!$C$6)))))</f>
        <v>1</v>
      </c>
      <c r="Q102" s="19">
        <f>IF('امتیاز دهی خبرگان'!$G102=0,0,IF('امتیاز دهی خبرگان'!$G102=1,'طیف فازی'!$D$2,IF('امتیاز دهی خبرگان'!$G102=2,'طیف فازی'!$D$3,IF('امتیاز دهی خبرگان'!$G102=3,'طیف فازی'!$D$4,IF('امتیاز دهی خبرگان'!$G102=4,'طیف فازی'!$D$5,'طیف فازی'!$D$6)))))</f>
        <v>1</v>
      </c>
      <c r="R102" s="17">
        <f>IF('امتیاز دهی خبرگان'!$H102=0,0,IF('امتیاز دهی خبرگان'!$H102=1,'طیف فازی'!$B$2,IF('امتیاز دهی خبرگان'!$H102=2,'طیف فازی'!$B$3,IF('امتیاز دهی خبرگان'!$H102=3,'طیف فازی'!$B$4,IF('امتیاز دهی خبرگان'!$H102=4,'طیف فازی'!$B$5,'طیف فازی'!$B$6)))))</f>
        <v>0</v>
      </c>
      <c r="S102" s="18">
        <f>IF('امتیاز دهی خبرگان'!$H102=0,0,IF('امتیاز دهی خبرگان'!$H102=1,'طیف فازی'!$C$2,IF('امتیاز دهی خبرگان'!$H102=2,'طیف فازی'!$C$3,IF('امتیاز دهی خبرگان'!$H102=3,'طیف فازی'!$C$4,IF('امتیاز دهی خبرگان'!$H102=4,'طیف فازی'!$C$5,'طیف فازی'!$C$6)))))</f>
        <v>0.25</v>
      </c>
      <c r="T102" s="19">
        <f>IF('امتیاز دهی خبرگان'!$H102=0,0,IF('امتیاز دهی خبرگان'!$H102=1,'طیف فازی'!$D$2,IF('امتیاز دهی خبرگان'!$H102=2,'طیف فازی'!$D$3,IF('امتیاز دهی خبرگان'!$H102=3,'طیف فازی'!$D$4,IF('امتیاز دهی خبرگان'!$H102=4,'طیف فازی'!$D$5,'طیف فازی'!$D$6)))))</f>
        <v>0.5</v>
      </c>
      <c r="U102" s="17">
        <f>IF('امتیاز دهی خبرگان'!$I102=0,0,IF('امتیاز دهی خبرگان'!$I102=1,'طیف فازی'!$B$2,IF('امتیاز دهی خبرگان'!$I102=2,'طیف فازی'!$B$3,IF('امتیاز دهی خبرگان'!$I102=3,'طیف فازی'!$B$4,IF('امتیاز دهی خبرگان'!$I102=4,'طیف فازی'!$B$5,'طیف فازی'!$B$6)))))</f>
        <v>0.5</v>
      </c>
      <c r="V102" s="18">
        <f>IF('امتیاز دهی خبرگان'!$I102=0,0,IF('امتیاز دهی خبرگان'!$I102=1,'طیف فازی'!$C$2,IF('امتیاز دهی خبرگان'!$I102=2,'طیف فازی'!$C$3,IF('امتیاز دهی خبرگان'!$I102=3,'طیف فازی'!$C$4,IF('امتیاز دهی خبرگان'!$I102=4,'طیف فازی'!$C$5,'طیف فازی'!$C$6)))))</f>
        <v>0.75</v>
      </c>
      <c r="W102" s="19">
        <f>IF('امتیاز دهی خبرگان'!$I102=0,0,IF('امتیاز دهی خبرگان'!$I102=1,'طیف فازی'!$D$2,IF('امتیاز دهی خبرگان'!$I102=2,'طیف فازی'!$D$3,IF('امتیاز دهی خبرگان'!$I102=3,'طیف فازی'!$D$4,IF('امتیاز دهی خبرگان'!$I102=4,'طیف فازی'!$D$5,'طیف فازی'!$D$6)))))</f>
        <v>1</v>
      </c>
      <c r="X102" s="17">
        <f>IF('امتیاز دهی خبرگان'!$J102=0,0,IF('امتیاز دهی خبرگان'!$J102=1,'طیف فازی'!$B$2,IF('امتیاز دهی خبرگان'!$J102=2,'طیف فازی'!$B$3,IF('امتیاز دهی خبرگان'!$J102=3,'طیف فازی'!$B$4,IF('امتیاز دهی خبرگان'!$J102=4,'طیف فازی'!$B$5,'طیف فازی'!$B$6)))))</f>
        <v>0.75</v>
      </c>
      <c r="Y102" s="18">
        <f>IF('امتیاز دهی خبرگان'!$J102=0,0,IF('امتیاز دهی خبرگان'!$J102=1,'طیف فازی'!$C$2,IF('امتیاز دهی خبرگان'!$J102=2,'طیف فازی'!$C$3,IF('امتیاز دهی خبرگان'!$J102=3,'طیف فازی'!$C$4,IF('امتیاز دهی خبرگان'!$J102=4,'طیف فازی'!$C$5,'طیف فازی'!$C$6)))))</f>
        <v>1</v>
      </c>
      <c r="Z102" s="19">
        <f>IF('امتیاز دهی خبرگان'!$J102=0,0,IF('امتیاز دهی خبرگان'!$J102=1,'طیف فازی'!$D$2,IF('امتیاز دهی خبرگان'!$J102=2,'طیف فازی'!$D$3,IF('امتیاز دهی خبرگان'!$J102=3,'طیف فازی'!$D$4,IF('امتیاز دهی خبرگان'!$J102=4,'طیف فازی'!$D$5,'طیف فازی'!$D$6)))))</f>
        <v>1</v>
      </c>
      <c r="AA102" s="17">
        <f>IF('امتیاز دهی خبرگان'!$K102=0,0,IF('امتیاز دهی خبرگان'!$K102=1,'طیف فازی'!$B$2,IF('امتیاز دهی خبرگان'!$K102=2,'طیف فازی'!$B$3,IF('امتیاز دهی خبرگان'!$K102=3,'طیف فازی'!$B$4,IF('امتیاز دهی خبرگان'!$K102=4,'طیف فازی'!$B$5,'طیف فازی'!$B$6)))))</f>
        <v>0.75</v>
      </c>
      <c r="AB102" s="18">
        <f>IF('امتیاز دهی خبرگان'!$K102=0,0,IF('امتیاز دهی خبرگان'!$K102=1,'طیف فازی'!$C$2,IF('امتیاز دهی خبرگان'!$K102=2,'طیف فازی'!$C$3,IF('امتیاز دهی خبرگان'!$K102=3,'طیف فازی'!$C$4,IF('امتیاز دهی خبرگان'!$K102=4,'طیف فازی'!$C$5,'طیف فازی'!$C$6)))))</f>
        <v>1</v>
      </c>
      <c r="AC102" s="19">
        <f>IF('امتیاز دهی خبرگان'!$K102=0,0,IF('امتیاز دهی خبرگان'!$K102=1,'طیف فازی'!$D$2,IF('امتیاز دهی خبرگان'!$K102=2,'طیف فازی'!$D$3,IF('امتیاز دهی خبرگان'!$K102=3,'طیف فازی'!$D$4,IF('امتیاز دهی خبرگان'!$K102=4,'طیف فازی'!$D$5,'طیف فازی'!$D$6)))))</f>
        <v>1</v>
      </c>
      <c r="AD102" s="17">
        <f>IF('امتیاز دهی خبرگان'!$L102=0,0,IF('امتیاز دهی خبرگان'!$L102=1,'طیف فازی'!$B$2,IF('امتیاز دهی خبرگان'!$L102=2,'طیف فازی'!$B$3,IF('امتیاز دهی خبرگان'!$L102=3,'طیف فازی'!$B$4,IF('امتیاز دهی خبرگان'!$L102=4,'طیف فازی'!$B$5,'طیف فازی'!$B$6)))))</f>
        <v>0.5</v>
      </c>
      <c r="AE102" s="18">
        <f>IF('امتیاز دهی خبرگان'!$L102=0,0,IF('امتیاز دهی خبرگان'!$L102=1,'طیف فازی'!$C$2,IF('امتیاز دهی خبرگان'!$L102=2,'طیف فازی'!$C$3,IF('امتیاز دهی خبرگان'!$L102=3,'طیف فازی'!$C$4,IF('امتیاز دهی خبرگان'!$L102=4,'طیف فازی'!$C$5,'طیف فازی'!$C$6)))))</f>
        <v>0.75</v>
      </c>
      <c r="AF102" s="19">
        <f>IF('امتیاز دهی خبرگان'!$L102=0,0,IF('امتیاز دهی خبرگان'!$L102=1,'طیف فازی'!$D$2,IF('امتیاز دهی خبرگان'!$L102=2,'طیف فازی'!$D$3,IF('امتیاز دهی خبرگان'!$L102=3,'طیف فازی'!$D$4,IF('امتیاز دهی خبرگان'!$L102=4,'طیف فازی'!$D$5,'طیف فازی'!$D$6)))))</f>
        <v>1</v>
      </c>
      <c r="AG102" s="17">
        <f>IF('امتیاز دهی خبرگان'!$M102=0,0,IF('امتیاز دهی خبرگان'!$M102=1,'طیف فازی'!$B$2,IF('امتیاز دهی خبرگان'!$M102=2,'طیف فازی'!$B$3,IF('امتیاز دهی خبرگان'!$M102=3,'طیف فازی'!$B$4,IF('امتیاز دهی خبرگان'!$M102=4,'طیف فازی'!$B$5,'طیف فازی'!$B$6)))))</f>
        <v>0.5</v>
      </c>
      <c r="AH102" s="18">
        <f>IF('امتیاز دهی خبرگان'!$M102=0,0,IF('امتیاز دهی خبرگان'!$M102=1,'طیف فازی'!$C$2,IF('امتیاز دهی خبرگان'!$M102=2,'طیف فازی'!$C$3,IF('امتیاز دهی خبرگان'!$M102=3,'طیف فازی'!$C$4,IF('امتیاز دهی خبرگان'!$M102=4,'طیف فازی'!$C$5,'طیف فازی'!$C$6)))))</f>
        <v>0.75</v>
      </c>
      <c r="AI102" s="19">
        <f>IF('امتیاز دهی خبرگان'!$M102=0,0,IF('امتیاز دهی خبرگان'!$M102=1,'طیف فازی'!$D$2,IF('امتیاز دهی خبرگان'!$M102=2,'طیف فازی'!$D$3,IF('امتیاز دهی خبرگان'!$M102=3,'طیف فازی'!$D$4,IF('امتیاز دهی خبرگان'!$M102=4,'طیف فازی'!$D$5,'طیف فازی'!$D$6)))))</f>
        <v>1</v>
      </c>
      <c r="AJ102" s="17">
        <f>IF('امتیاز دهی خبرگان'!$N102=0,0,IF('امتیاز دهی خبرگان'!$N102=1,'طیف فازی'!$B$2,IF('امتیاز دهی خبرگان'!$N102=2,'طیف فازی'!$B$3,IF('امتیاز دهی خبرگان'!$N102=3,'طیف فازی'!$B$4,IF('امتیاز دهی خبرگان'!$N102=4,'طیف فازی'!$B$5,'طیف فازی'!$B$6)))))</f>
        <v>0.75</v>
      </c>
      <c r="AK102" s="18">
        <f>IF('امتیاز دهی خبرگان'!$N102=0,0,IF('امتیاز دهی خبرگان'!$N102=1,'طیف فازی'!$C$2,IF('امتیاز دهی خبرگان'!$N102=2,'طیف فازی'!$C$3,IF('امتیاز دهی خبرگان'!$N102=3,'طیف فازی'!$C$4,IF('امتیاز دهی خبرگان'!$N102=4,'طیف فازی'!$C$5,'طیف فازی'!$C$6)))))</f>
        <v>1</v>
      </c>
      <c r="AL102" s="19">
        <f>IF('امتیاز دهی خبرگان'!$N102=0,0,IF('امتیاز دهی خبرگان'!$N102=1,'طیف فازی'!$D$2,IF('امتیاز دهی خبرگان'!$N102=2,'طیف فازی'!$D$3,IF('امتیاز دهی خبرگان'!$N102=3,'طیف فازی'!$D$4,IF('امتیاز دهی خبرگان'!$N102=4,'طیف فازی'!$D$5,'طیف فازی'!$D$6)))))</f>
        <v>1</v>
      </c>
      <c r="AM102" s="23">
        <f t="shared" si="9"/>
        <v>7</v>
      </c>
      <c r="AN102" s="23">
        <f t="shared" si="10"/>
        <v>10</v>
      </c>
      <c r="AO102" s="24">
        <f t="shared" si="11"/>
        <v>11.25</v>
      </c>
      <c r="AP102" s="25">
        <f t="shared" si="12"/>
        <v>0.58333333333333337</v>
      </c>
      <c r="AQ102" s="23">
        <f t="shared" si="13"/>
        <v>0.83333333333333337</v>
      </c>
      <c r="AR102" s="24">
        <f t="shared" si="14"/>
        <v>0.9375</v>
      </c>
      <c r="AS102" s="24">
        <f t="shared" si="15"/>
        <v>0.78472222222222232</v>
      </c>
      <c r="AT102" s="24" t="str">
        <f t="shared" si="16"/>
        <v>Pass</v>
      </c>
    </row>
    <row r="103" spans="2:46" ht="23.25" customHeight="1" thickBot="1" x14ac:dyDescent="0.85">
      <c r="B103" s="2">
        <v>99</v>
      </c>
      <c r="C103" s="17">
        <f>IF('امتیاز دهی خبرگان'!$C103=0,0,IF('امتیاز دهی خبرگان'!$C103=1,'طیف فازی'!$B$2,IF('امتیاز دهی خبرگان'!$C103=2,'طیف فازی'!$B$3,IF('امتیاز دهی خبرگان'!$C103=3,'طیف فازی'!$B$4,IF('امتیاز دهی خبرگان'!$C103=4,'طیف فازی'!$B$5,'طیف فازی'!$B$6)))))</f>
        <v>0.75</v>
      </c>
      <c r="D103" s="18">
        <f>IF('امتیاز دهی خبرگان'!$C103=0,0,IF('امتیاز دهی خبرگان'!$C103=1,'طیف فازی'!$C$2,IF('امتیاز دهی خبرگان'!$C103=2,'طیف فازی'!$C$3,IF('امتیاز دهی خبرگان'!$C103=3,'طیف فازی'!$C$4,IF('امتیاز دهی خبرگان'!$C103=4,'طیف فازی'!$C$5,'طیف فازی'!$C$6)))))</f>
        <v>1</v>
      </c>
      <c r="E103" s="19">
        <f>IF('امتیاز دهی خبرگان'!$C103=0,0,IF('امتیاز دهی خبرگان'!$C103=1,'طیف فازی'!$D$2,IF('امتیاز دهی خبرگان'!$C103=2,'طیف فازی'!$D$3,IF('امتیاز دهی خبرگان'!$C103=3,'طیف فازی'!$D$4,IF('امتیاز دهی خبرگان'!$C103=4,'طیف فازی'!$D$5,'طیف فازی'!$D$6)))))</f>
        <v>1</v>
      </c>
      <c r="F103" s="20">
        <f>IF('امتیاز دهی خبرگان'!$D103=0,0,IF('امتیاز دهی خبرگان'!$D103=1,'طیف فازی'!$B$2,IF('امتیاز دهی خبرگان'!$D103=2,'طیف فازی'!$B$3,IF('امتیاز دهی خبرگان'!$D103=3,'طیف فازی'!$B$4,IF('امتیاز دهی خبرگان'!$D103=4,'طیف فازی'!$B$5,'طیف فازی'!$B$6)))))</f>
        <v>0.25</v>
      </c>
      <c r="G103" s="21">
        <f>IF('امتیاز دهی خبرگان'!$D103=0,0,IF('امتیاز دهی خبرگان'!$D103=1,'طیف فازی'!$D$2,IF('امتیاز دهی خبرگان'!$D103=2,'طیف فازی'!$C$3,IF('امتیاز دهی خبرگان'!$D103=3,'طیف فازی'!$C$4,IF('امتیاز دهی خبرگان'!$D103=4,'طیف فازی'!$C$5,'طیف فازی'!$C$6)))))</f>
        <v>0.5</v>
      </c>
      <c r="H103" s="22">
        <f>IF('امتیاز دهی خبرگان'!$D103=0,0,IF('امتیاز دهی خبرگان'!$D103=1,'طیف فازی'!$D$2,IF('امتیاز دهی خبرگان'!$D103=2,'طیف فازی'!$D$3,IF('امتیاز دهی خبرگان'!$D103=3,'طیف فازی'!$D$4,IF('امتیاز دهی خبرگان'!$D103=4,'طیف فازی'!$D$5,'طیف فازی'!$D$6)))))</f>
        <v>0.75</v>
      </c>
      <c r="I103" s="17">
        <f>IF('امتیاز دهی خبرگان'!$E103=0,0,IF('امتیاز دهی خبرگان'!$E103=1,'طیف فازی'!$B$2,IF('امتیاز دهی خبرگان'!$E103=2,'طیف فازی'!$B$3,IF('امتیاز دهی خبرگان'!$E103=3,'طیف فازی'!$B$4,IF('امتیاز دهی خبرگان'!$E103=4,'طیف فازی'!$B$5,'طیف فازی'!$B$6)))))</f>
        <v>0.5</v>
      </c>
      <c r="J103" s="18">
        <f>IF('امتیاز دهی خبرگان'!$E103=0,0,IF('امتیاز دهی خبرگان'!$E103=1,'طیف فازی'!$C$2,IF('امتیاز دهی خبرگان'!$E103=2,'طیف فازی'!$C$3,IF('امتیاز دهی خبرگان'!$E103=3,'طیف فازی'!$C$4,IF('امتیاز دهی خبرگان'!$E103=4,'طیف فازی'!$C$5,'طیف فازی'!$C$6)))))</f>
        <v>0.75</v>
      </c>
      <c r="K103" s="19">
        <f>IF('امتیاز دهی خبرگان'!$E103=0,0,IF('امتیاز دهی خبرگان'!$E103=1,'طیف فازی'!$D$2,IF('امتیاز دهی خبرگان'!$E103=2,'طیف فازی'!$D$3,IF('امتیاز دهی خبرگان'!$E103=3,'طیف فازی'!$D$4,IF('امتیاز دهی خبرگان'!$E103=4,'طیف فازی'!$D$5,'طیف فازی'!$D$6)))))</f>
        <v>1</v>
      </c>
      <c r="L103" s="17">
        <f>IF('امتیاز دهی خبرگان'!$F103=0,0,IF('امتیاز دهی خبرگان'!$F103=1,'طیف فازی'!$B$2,IF('امتیاز دهی خبرگان'!$F103=2,'طیف فازی'!$B$3,IF('امتیاز دهی خبرگان'!$F103=3,'طیف فازی'!$B$4,IF('امتیاز دهی خبرگان'!$F103=4,'طیف فازی'!$B$5,'طیف فازی'!$B$6)))))</f>
        <v>0.5</v>
      </c>
      <c r="M103" s="18">
        <f>IF('امتیاز دهی خبرگان'!$F103=0,0,IF('امتیاز دهی خبرگان'!$F103=1,'طیف فازی'!$C$2,IF('امتیاز دهی خبرگان'!$F103=2,'طیف فازی'!$C$3,IF('امتیاز دهی خبرگان'!$F103=3,'طیف فازی'!$C$4,IF('امتیاز دهی خبرگان'!$F103=4,'طیف فازی'!$C$5,'طیف فازی'!$C$6)))))</f>
        <v>0.75</v>
      </c>
      <c r="N103" s="19">
        <f>IF('امتیاز دهی خبرگان'!$F103=0,0,IF('امتیاز دهی خبرگان'!$F103=1,'طیف فازی'!$D$2,IF('امتیاز دهی خبرگان'!$F103=2,'طیف فازی'!$D$3,IF('امتیاز دهی خبرگان'!$F103=3,'طیف فازی'!$D$4,IF('امتیاز دهی خبرگان'!$F103=4,'طیف فازی'!$D$5,'طیف فازی'!$D$6)))))</f>
        <v>1</v>
      </c>
      <c r="O103" s="17">
        <f>IF('امتیاز دهی خبرگان'!$G103=0,0,IF('امتیاز دهی خبرگان'!$G103=1,'طیف فازی'!$B$2,IF('امتیاز دهی خبرگان'!$G103=2,'طیف فازی'!$B$3,IF('امتیاز دهی خبرگان'!$G103=3,'طیف فازی'!$B$4,IF('امتیاز دهی خبرگان'!$G103=4,'طیف فازی'!$B$5,'طیف فازی'!$B$6)))))</f>
        <v>0.5</v>
      </c>
      <c r="P103" s="18">
        <f>IF('امتیاز دهی خبرگان'!$G103=0,0,IF('امتیاز دهی خبرگان'!$G103=1,'طیف فازی'!$C$2,IF('امتیاز دهی خبرگان'!$G103=2,'طیف فازی'!$C$3,IF('امتیاز دهی خبرگان'!$G103=3,'طیف فازی'!$C$4,IF('امتیاز دهی خبرگان'!$G103=4,'طیف فازی'!$C$5,'طیف فازی'!$C$6)))))</f>
        <v>0.75</v>
      </c>
      <c r="Q103" s="19">
        <f>IF('امتیاز دهی خبرگان'!$G103=0,0,IF('امتیاز دهی خبرگان'!$G103=1,'طیف فازی'!$D$2,IF('امتیاز دهی خبرگان'!$G103=2,'طیف فازی'!$D$3,IF('امتیاز دهی خبرگان'!$G103=3,'طیف فازی'!$D$4,IF('امتیاز دهی خبرگان'!$G103=4,'طیف فازی'!$D$5,'طیف فازی'!$D$6)))))</f>
        <v>1</v>
      </c>
      <c r="R103" s="17">
        <f>IF('امتیاز دهی خبرگان'!$H103=0,0,IF('امتیاز دهی خبرگان'!$H103=1,'طیف فازی'!$B$2,IF('امتیاز دهی خبرگان'!$H103=2,'طیف فازی'!$B$3,IF('امتیاز دهی خبرگان'!$H103=3,'طیف فازی'!$B$4,IF('امتیاز دهی خبرگان'!$H103=4,'طیف فازی'!$B$5,'طیف فازی'!$B$6)))))</f>
        <v>0.5</v>
      </c>
      <c r="S103" s="18">
        <f>IF('امتیاز دهی خبرگان'!$H103=0,0,IF('امتیاز دهی خبرگان'!$H103=1,'طیف فازی'!$C$2,IF('امتیاز دهی خبرگان'!$H103=2,'طیف فازی'!$C$3,IF('امتیاز دهی خبرگان'!$H103=3,'طیف فازی'!$C$4,IF('امتیاز دهی خبرگان'!$H103=4,'طیف فازی'!$C$5,'طیف فازی'!$C$6)))))</f>
        <v>0.75</v>
      </c>
      <c r="T103" s="19">
        <f>IF('امتیاز دهی خبرگان'!$H103=0,0,IF('امتیاز دهی خبرگان'!$H103=1,'طیف فازی'!$D$2,IF('امتیاز دهی خبرگان'!$H103=2,'طیف فازی'!$D$3,IF('امتیاز دهی خبرگان'!$H103=3,'طیف فازی'!$D$4,IF('امتیاز دهی خبرگان'!$H103=4,'طیف فازی'!$D$5,'طیف فازی'!$D$6)))))</f>
        <v>1</v>
      </c>
      <c r="U103" s="17">
        <f>IF('امتیاز دهی خبرگان'!$I103=0,0,IF('امتیاز دهی خبرگان'!$I103=1,'طیف فازی'!$B$2,IF('امتیاز دهی خبرگان'!$I103=2,'طیف فازی'!$B$3,IF('امتیاز دهی خبرگان'!$I103=3,'طیف فازی'!$B$4,IF('امتیاز دهی خبرگان'!$I103=4,'طیف فازی'!$B$5,'طیف فازی'!$B$6)))))</f>
        <v>0.75</v>
      </c>
      <c r="V103" s="18">
        <f>IF('امتیاز دهی خبرگان'!$I103=0,0,IF('امتیاز دهی خبرگان'!$I103=1,'طیف فازی'!$C$2,IF('امتیاز دهی خبرگان'!$I103=2,'طیف فازی'!$C$3,IF('امتیاز دهی خبرگان'!$I103=3,'طیف فازی'!$C$4,IF('امتیاز دهی خبرگان'!$I103=4,'طیف فازی'!$C$5,'طیف فازی'!$C$6)))))</f>
        <v>1</v>
      </c>
      <c r="W103" s="19">
        <f>IF('امتیاز دهی خبرگان'!$I103=0,0,IF('امتیاز دهی خبرگان'!$I103=1,'طیف فازی'!$D$2,IF('امتیاز دهی خبرگان'!$I103=2,'طیف فازی'!$D$3,IF('امتیاز دهی خبرگان'!$I103=3,'طیف فازی'!$D$4,IF('امتیاز دهی خبرگان'!$I103=4,'طیف فازی'!$D$5,'طیف فازی'!$D$6)))))</f>
        <v>1</v>
      </c>
      <c r="X103" s="17">
        <f>IF('امتیاز دهی خبرگان'!$J103=0,0,IF('امتیاز دهی خبرگان'!$J103=1,'طیف فازی'!$B$2,IF('امتیاز دهی خبرگان'!$J103=2,'طیف فازی'!$B$3,IF('امتیاز دهی خبرگان'!$J103=3,'طیف فازی'!$B$4,IF('امتیاز دهی خبرگان'!$J103=4,'طیف فازی'!$B$5,'طیف فازی'!$B$6)))))</f>
        <v>0.5</v>
      </c>
      <c r="Y103" s="18">
        <f>IF('امتیاز دهی خبرگان'!$J103=0,0,IF('امتیاز دهی خبرگان'!$J103=1,'طیف فازی'!$C$2,IF('امتیاز دهی خبرگان'!$J103=2,'طیف فازی'!$C$3,IF('امتیاز دهی خبرگان'!$J103=3,'طیف فازی'!$C$4,IF('امتیاز دهی خبرگان'!$J103=4,'طیف فازی'!$C$5,'طیف فازی'!$C$6)))))</f>
        <v>0.75</v>
      </c>
      <c r="Z103" s="19">
        <f>IF('امتیاز دهی خبرگان'!$J103=0,0,IF('امتیاز دهی خبرگان'!$J103=1,'طیف فازی'!$D$2,IF('امتیاز دهی خبرگان'!$J103=2,'طیف فازی'!$D$3,IF('امتیاز دهی خبرگان'!$J103=3,'طیف فازی'!$D$4,IF('امتیاز دهی خبرگان'!$J103=4,'طیف فازی'!$D$5,'طیف فازی'!$D$6)))))</f>
        <v>1</v>
      </c>
      <c r="AA103" s="17">
        <f>IF('امتیاز دهی خبرگان'!$K103=0,0,IF('امتیاز دهی خبرگان'!$K103=1,'طیف فازی'!$B$2,IF('امتیاز دهی خبرگان'!$K103=2,'طیف فازی'!$B$3,IF('امتیاز دهی خبرگان'!$K103=3,'طیف فازی'!$B$4,IF('امتیاز دهی خبرگان'!$K103=4,'طیف فازی'!$B$5,'طیف فازی'!$B$6)))))</f>
        <v>0.5</v>
      </c>
      <c r="AB103" s="18">
        <f>IF('امتیاز دهی خبرگان'!$K103=0,0,IF('امتیاز دهی خبرگان'!$K103=1,'طیف فازی'!$C$2,IF('امتیاز دهی خبرگان'!$K103=2,'طیف فازی'!$C$3,IF('امتیاز دهی خبرگان'!$K103=3,'طیف فازی'!$C$4,IF('امتیاز دهی خبرگان'!$K103=4,'طیف فازی'!$C$5,'طیف فازی'!$C$6)))))</f>
        <v>0.75</v>
      </c>
      <c r="AC103" s="19">
        <f>IF('امتیاز دهی خبرگان'!$K103=0,0,IF('امتیاز دهی خبرگان'!$K103=1,'طیف فازی'!$D$2,IF('امتیاز دهی خبرگان'!$K103=2,'طیف فازی'!$D$3,IF('امتیاز دهی خبرگان'!$K103=3,'طیف فازی'!$D$4,IF('امتیاز دهی خبرگان'!$K103=4,'طیف فازی'!$D$5,'طیف فازی'!$D$6)))))</f>
        <v>1</v>
      </c>
      <c r="AD103" s="17">
        <f>IF('امتیاز دهی خبرگان'!$L103=0,0,IF('امتیاز دهی خبرگان'!$L103=1,'طیف فازی'!$B$2,IF('امتیاز دهی خبرگان'!$L103=2,'طیف فازی'!$B$3,IF('امتیاز دهی خبرگان'!$L103=3,'طیف فازی'!$B$4,IF('امتیاز دهی خبرگان'!$L103=4,'طیف فازی'!$B$5,'طیف فازی'!$B$6)))))</f>
        <v>0.5</v>
      </c>
      <c r="AE103" s="18">
        <f>IF('امتیاز دهی خبرگان'!$L103=0,0,IF('امتیاز دهی خبرگان'!$L103=1,'طیف فازی'!$C$2,IF('امتیاز دهی خبرگان'!$L103=2,'طیف فازی'!$C$3,IF('امتیاز دهی خبرگان'!$L103=3,'طیف فازی'!$C$4,IF('امتیاز دهی خبرگان'!$L103=4,'طیف فازی'!$C$5,'طیف فازی'!$C$6)))))</f>
        <v>0.75</v>
      </c>
      <c r="AF103" s="19">
        <f>IF('امتیاز دهی خبرگان'!$L103=0,0,IF('امتیاز دهی خبرگان'!$L103=1,'طیف فازی'!$D$2,IF('امتیاز دهی خبرگان'!$L103=2,'طیف فازی'!$D$3,IF('امتیاز دهی خبرگان'!$L103=3,'طیف فازی'!$D$4,IF('امتیاز دهی خبرگان'!$L103=4,'طیف فازی'!$D$5,'طیف فازی'!$D$6)))))</f>
        <v>1</v>
      </c>
      <c r="AG103" s="17">
        <f>IF('امتیاز دهی خبرگان'!$M103=0,0,IF('امتیاز دهی خبرگان'!$M103=1,'طیف فازی'!$B$2,IF('امتیاز دهی خبرگان'!$M103=2,'طیف فازی'!$B$3,IF('امتیاز دهی خبرگان'!$M103=3,'طیف فازی'!$B$4,IF('امتیاز دهی خبرگان'!$M103=4,'طیف فازی'!$B$5,'طیف فازی'!$B$6)))))</f>
        <v>0.25</v>
      </c>
      <c r="AH103" s="18">
        <f>IF('امتیاز دهی خبرگان'!$M103=0,0,IF('امتیاز دهی خبرگان'!$M103=1,'طیف فازی'!$C$2,IF('امتیاز دهی خبرگان'!$M103=2,'طیف فازی'!$C$3,IF('امتیاز دهی خبرگان'!$M103=3,'طیف فازی'!$C$4,IF('امتیاز دهی خبرگان'!$M103=4,'طیف فازی'!$C$5,'طیف فازی'!$C$6)))))</f>
        <v>0.5</v>
      </c>
      <c r="AI103" s="19">
        <f>IF('امتیاز دهی خبرگان'!$M103=0,0,IF('امتیاز دهی خبرگان'!$M103=1,'طیف فازی'!$D$2,IF('امتیاز دهی خبرگان'!$M103=2,'طیف فازی'!$D$3,IF('امتیاز دهی خبرگان'!$M103=3,'طیف فازی'!$D$4,IF('امتیاز دهی خبرگان'!$M103=4,'طیف فازی'!$D$5,'طیف فازی'!$D$6)))))</f>
        <v>0.75</v>
      </c>
      <c r="AJ103" s="17">
        <f>IF('امتیاز دهی خبرگان'!$N103=0,0,IF('امتیاز دهی خبرگان'!$N103=1,'طیف فازی'!$B$2,IF('امتیاز دهی خبرگان'!$N103=2,'طیف فازی'!$B$3,IF('امتیاز دهی خبرگان'!$N103=3,'طیف فازی'!$B$4,IF('امتیاز دهی خبرگان'!$N103=4,'طیف فازی'!$B$5,'طیف فازی'!$B$6)))))</f>
        <v>0.75</v>
      </c>
      <c r="AK103" s="18">
        <f>IF('امتیاز دهی خبرگان'!$N103=0,0,IF('امتیاز دهی خبرگان'!$N103=1,'طیف فازی'!$C$2,IF('امتیاز دهی خبرگان'!$N103=2,'طیف فازی'!$C$3,IF('امتیاز دهی خبرگان'!$N103=3,'طیف فازی'!$C$4,IF('امتیاز دهی خبرگان'!$N103=4,'طیف فازی'!$C$5,'طیف فازی'!$C$6)))))</f>
        <v>1</v>
      </c>
      <c r="AL103" s="19">
        <f>IF('امتیاز دهی خبرگان'!$N103=0,0,IF('امتیاز دهی خبرگان'!$N103=1,'طیف فازی'!$D$2,IF('امتیاز دهی خبرگان'!$N103=2,'طیف فازی'!$D$3,IF('امتیاز دهی خبرگان'!$N103=3,'طیف فازی'!$D$4,IF('امتیاز دهی خبرگان'!$N103=4,'طیف فازی'!$D$5,'طیف فازی'!$D$6)))))</f>
        <v>1</v>
      </c>
      <c r="AM103" s="23">
        <f t="shared" si="9"/>
        <v>6.25</v>
      </c>
      <c r="AN103" s="23">
        <f t="shared" si="10"/>
        <v>9.25</v>
      </c>
      <c r="AO103" s="24">
        <f t="shared" si="11"/>
        <v>11.5</v>
      </c>
      <c r="AP103" s="25">
        <f t="shared" si="12"/>
        <v>0.52083333333333337</v>
      </c>
      <c r="AQ103" s="23">
        <f t="shared" si="13"/>
        <v>0.77083333333333337</v>
      </c>
      <c r="AR103" s="24">
        <f t="shared" si="14"/>
        <v>0.95833333333333337</v>
      </c>
      <c r="AS103" s="24">
        <f t="shared" si="15"/>
        <v>0.75</v>
      </c>
      <c r="AT103" s="24" t="str">
        <f t="shared" si="16"/>
        <v>Pass</v>
      </c>
    </row>
    <row r="104" spans="2:46" ht="23.25" customHeight="1" thickBot="1" x14ac:dyDescent="0.85">
      <c r="B104" s="2">
        <v>100</v>
      </c>
      <c r="C104" s="17">
        <f>IF('امتیاز دهی خبرگان'!$C104=0,0,IF('امتیاز دهی خبرگان'!$C104=1,'طیف فازی'!$B$2,IF('امتیاز دهی خبرگان'!$C104=2,'طیف فازی'!$B$3,IF('امتیاز دهی خبرگان'!$C104=3,'طیف فازی'!$B$4,IF('امتیاز دهی خبرگان'!$C104=4,'طیف فازی'!$B$5,'طیف فازی'!$B$6)))))</f>
        <v>0.75</v>
      </c>
      <c r="D104" s="18">
        <f>IF('امتیاز دهی خبرگان'!$C104=0,0,IF('امتیاز دهی خبرگان'!$C104=1,'طیف فازی'!$C$2,IF('امتیاز دهی خبرگان'!$C104=2,'طیف فازی'!$C$3,IF('امتیاز دهی خبرگان'!$C104=3,'طیف فازی'!$C$4,IF('امتیاز دهی خبرگان'!$C104=4,'طیف فازی'!$C$5,'طیف فازی'!$C$6)))))</f>
        <v>1</v>
      </c>
      <c r="E104" s="19">
        <f>IF('امتیاز دهی خبرگان'!$C104=0,0,IF('امتیاز دهی خبرگان'!$C104=1,'طیف فازی'!$D$2,IF('امتیاز دهی خبرگان'!$C104=2,'طیف فازی'!$D$3,IF('امتیاز دهی خبرگان'!$C104=3,'طیف فازی'!$D$4,IF('امتیاز دهی خبرگان'!$C104=4,'طیف فازی'!$D$5,'طیف فازی'!$D$6)))))</f>
        <v>1</v>
      </c>
      <c r="F104" s="20">
        <f>IF('امتیاز دهی خبرگان'!$D104=0,0,IF('امتیاز دهی خبرگان'!$D104=1,'طیف فازی'!$B$2,IF('امتیاز دهی خبرگان'!$D104=2,'طیف فازی'!$B$3,IF('امتیاز دهی خبرگان'!$D104=3,'طیف فازی'!$B$4,IF('امتیاز دهی خبرگان'!$D104=4,'طیف فازی'!$B$5,'طیف فازی'!$B$6)))))</f>
        <v>0.25</v>
      </c>
      <c r="G104" s="21">
        <f>IF('امتیاز دهی خبرگان'!$D104=0,0,IF('امتیاز دهی خبرگان'!$D104=1,'طیف فازی'!$D$2,IF('امتیاز دهی خبرگان'!$D104=2,'طیف فازی'!$C$3,IF('امتیاز دهی خبرگان'!$D104=3,'طیف فازی'!$C$4,IF('امتیاز دهی خبرگان'!$D104=4,'طیف فازی'!$C$5,'طیف فازی'!$C$6)))))</f>
        <v>0.5</v>
      </c>
      <c r="H104" s="22">
        <f>IF('امتیاز دهی خبرگان'!$D104=0,0,IF('امتیاز دهی خبرگان'!$D104=1,'طیف فازی'!$D$2,IF('امتیاز دهی خبرگان'!$D104=2,'طیف فازی'!$D$3,IF('امتیاز دهی خبرگان'!$D104=3,'طیف فازی'!$D$4,IF('امتیاز دهی خبرگان'!$D104=4,'طیف فازی'!$D$5,'طیف فازی'!$D$6)))))</f>
        <v>0.75</v>
      </c>
      <c r="I104" s="17">
        <f>IF('امتیاز دهی خبرگان'!$E104=0,0,IF('امتیاز دهی خبرگان'!$E104=1,'طیف فازی'!$B$2,IF('امتیاز دهی خبرگان'!$E104=2,'طیف فازی'!$B$3,IF('امتیاز دهی خبرگان'!$E104=3,'طیف فازی'!$B$4,IF('امتیاز دهی خبرگان'!$E104=4,'طیف فازی'!$B$5,'طیف فازی'!$B$6)))))</f>
        <v>0.75</v>
      </c>
      <c r="J104" s="18">
        <f>IF('امتیاز دهی خبرگان'!$E104=0,0,IF('امتیاز دهی خبرگان'!$E104=1,'طیف فازی'!$C$2,IF('امتیاز دهی خبرگان'!$E104=2,'طیف فازی'!$C$3,IF('امتیاز دهی خبرگان'!$E104=3,'طیف فازی'!$C$4,IF('امتیاز دهی خبرگان'!$E104=4,'طیف فازی'!$C$5,'طیف فازی'!$C$6)))))</f>
        <v>1</v>
      </c>
      <c r="K104" s="19">
        <f>IF('امتیاز دهی خبرگان'!$E104=0,0,IF('امتیاز دهی خبرگان'!$E104=1,'طیف فازی'!$D$2,IF('امتیاز دهی خبرگان'!$E104=2,'طیف فازی'!$D$3,IF('امتیاز دهی خبرگان'!$E104=3,'طیف فازی'!$D$4,IF('امتیاز دهی خبرگان'!$E104=4,'طیف فازی'!$D$5,'طیف فازی'!$D$6)))))</f>
        <v>1</v>
      </c>
      <c r="L104" s="17">
        <f>IF('امتیاز دهی خبرگان'!$F104=0,0,IF('امتیاز دهی خبرگان'!$F104=1,'طیف فازی'!$B$2,IF('امتیاز دهی خبرگان'!$F104=2,'طیف فازی'!$B$3,IF('امتیاز دهی خبرگان'!$F104=3,'طیف فازی'!$B$4,IF('امتیاز دهی خبرگان'!$F104=4,'طیف فازی'!$B$5,'طیف فازی'!$B$6)))))</f>
        <v>0.5</v>
      </c>
      <c r="M104" s="18">
        <f>IF('امتیاز دهی خبرگان'!$F104=0,0,IF('امتیاز دهی خبرگان'!$F104=1,'طیف فازی'!$C$2,IF('امتیاز دهی خبرگان'!$F104=2,'طیف فازی'!$C$3,IF('امتیاز دهی خبرگان'!$F104=3,'طیف فازی'!$C$4,IF('امتیاز دهی خبرگان'!$F104=4,'طیف فازی'!$C$5,'طیف فازی'!$C$6)))))</f>
        <v>0.75</v>
      </c>
      <c r="N104" s="19">
        <f>IF('امتیاز دهی خبرگان'!$F104=0,0,IF('امتیاز دهی خبرگان'!$F104=1,'طیف فازی'!$D$2,IF('امتیاز دهی خبرگان'!$F104=2,'طیف فازی'!$D$3,IF('امتیاز دهی خبرگان'!$F104=3,'طیف فازی'!$D$4,IF('امتیاز دهی خبرگان'!$F104=4,'طیف فازی'!$D$5,'طیف فازی'!$D$6)))))</f>
        <v>1</v>
      </c>
      <c r="O104" s="17">
        <f>IF('امتیاز دهی خبرگان'!$G104=0,0,IF('امتیاز دهی خبرگان'!$G104=1,'طیف فازی'!$B$2,IF('امتیاز دهی خبرگان'!$G104=2,'طیف فازی'!$B$3,IF('امتیاز دهی خبرگان'!$G104=3,'طیف فازی'!$B$4,IF('امتیاز دهی خبرگان'!$G104=4,'طیف فازی'!$B$5,'طیف فازی'!$B$6)))))</f>
        <v>0.5</v>
      </c>
      <c r="P104" s="18">
        <f>IF('امتیاز دهی خبرگان'!$G104=0,0,IF('امتیاز دهی خبرگان'!$G104=1,'طیف فازی'!$C$2,IF('امتیاز دهی خبرگان'!$G104=2,'طیف فازی'!$C$3,IF('امتیاز دهی خبرگان'!$G104=3,'طیف فازی'!$C$4,IF('امتیاز دهی خبرگان'!$G104=4,'طیف فازی'!$C$5,'طیف فازی'!$C$6)))))</f>
        <v>0.75</v>
      </c>
      <c r="Q104" s="19">
        <f>IF('امتیاز دهی خبرگان'!$G104=0,0,IF('امتیاز دهی خبرگان'!$G104=1,'طیف فازی'!$D$2,IF('امتیاز دهی خبرگان'!$G104=2,'طیف فازی'!$D$3,IF('امتیاز دهی خبرگان'!$G104=3,'طیف فازی'!$D$4,IF('امتیاز دهی خبرگان'!$G104=4,'طیف فازی'!$D$5,'طیف فازی'!$D$6)))))</f>
        <v>1</v>
      </c>
      <c r="R104" s="17">
        <f>IF('امتیاز دهی خبرگان'!$H104=0,0,IF('امتیاز دهی خبرگان'!$H104=1,'طیف فازی'!$B$2,IF('امتیاز دهی خبرگان'!$H104=2,'طیف فازی'!$B$3,IF('امتیاز دهی خبرگان'!$H104=3,'طیف فازی'!$B$4,IF('امتیاز دهی خبرگان'!$H104=4,'طیف فازی'!$B$5,'طیف فازی'!$B$6)))))</f>
        <v>0.5</v>
      </c>
      <c r="S104" s="18">
        <f>IF('امتیاز دهی خبرگان'!$H104=0,0,IF('امتیاز دهی خبرگان'!$H104=1,'طیف فازی'!$C$2,IF('امتیاز دهی خبرگان'!$H104=2,'طیف فازی'!$C$3,IF('امتیاز دهی خبرگان'!$H104=3,'طیف فازی'!$C$4,IF('امتیاز دهی خبرگان'!$H104=4,'طیف فازی'!$C$5,'طیف فازی'!$C$6)))))</f>
        <v>0.75</v>
      </c>
      <c r="T104" s="19">
        <f>IF('امتیاز دهی خبرگان'!$H104=0,0,IF('امتیاز دهی خبرگان'!$H104=1,'طیف فازی'!$D$2,IF('امتیاز دهی خبرگان'!$H104=2,'طیف فازی'!$D$3,IF('امتیاز دهی خبرگان'!$H104=3,'طیف فازی'!$D$4,IF('امتیاز دهی خبرگان'!$H104=4,'طیف فازی'!$D$5,'طیف فازی'!$D$6)))))</f>
        <v>1</v>
      </c>
      <c r="U104" s="17">
        <f>IF('امتیاز دهی خبرگان'!$I104=0,0,IF('امتیاز دهی خبرگان'!$I104=1,'طیف فازی'!$B$2,IF('امتیاز دهی خبرگان'!$I104=2,'طیف فازی'!$B$3,IF('امتیاز دهی خبرگان'!$I104=3,'طیف فازی'!$B$4,IF('امتیاز دهی خبرگان'!$I104=4,'طیف فازی'!$B$5,'طیف فازی'!$B$6)))))</f>
        <v>0.75</v>
      </c>
      <c r="V104" s="18">
        <f>IF('امتیاز دهی خبرگان'!$I104=0,0,IF('امتیاز دهی خبرگان'!$I104=1,'طیف فازی'!$C$2,IF('امتیاز دهی خبرگان'!$I104=2,'طیف فازی'!$C$3,IF('امتیاز دهی خبرگان'!$I104=3,'طیف فازی'!$C$4,IF('امتیاز دهی خبرگان'!$I104=4,'طیف فازی'!$C$5,'طیف فازی'!$C$6)))))</f>
        <v>1</v>
      </c>
      <c r="W104" s="19">
        <f>IF('امتیاز دهی خبرگان'!$I104=0,0,IF('امتیاز دهی خبرگان'!$I104=1,'طیف فازی'!$D$2,IF('امتیاز دهی خبرگان'!$I104=2,'طیف فازی'!$D$3,IF('امتیاز دهی خبرگان'!$I104=3,'طیف فازی'!$D$4,IF('امتیاز دهی خبرگان'!$I104=4,'طیف فازی'!$D$5,'طیف فازی'!$D$6)))))</f>
        <v>1</v>
      </c>
      <c r="X104" s="17">
        <f>IF('امتیاز دهی خبرگان'!$J104=0,0,IF('امتیاز دهی خبرگان'!$J104=1,'طیف فازی'!$B$2,IF('امتیاز دهی خبرگان'!$J104=2,'طیف فازی'!$B$3,IF('امتیاز دهی خبرگان'!$J104=3,'طیف فازی'!$B$4,IF('امتیاز دهی خبرگان'!$J104=4,'طیف فازی'!$B$5,'طیف فازی'!$B$6)))))</f>
        <v>0.75</v>
      </c>
      <c r="Y104" s="18">
        <f>IF('امتیاز دهی خبرگان'!$J104=0,0,IF('امتیاز دهی خبرگان'!$J104=1,'طیف فازی'!$C$2,IF('امتیاز دهی خبرگان'!$J104=2,'طیف فازی'!$C$3,IF('امتیاز دهی خبرگان'!$J104=3,'طیف فازی'!$C$4,IF('امتیاز دهی خبرگان'!$J104=4,'طیف فازی'!$C$5,'طیف فازی'!$C$6)))))</f>
        <v>1</v>
      </c>
      <c r="Z104" s="19">
        <f>IF('امتیاز دهی خبرگان'!$J104=0,0,IF('امتیاز دهی خبرگان'!$J104=1,'طیف فازی'!$D$2,IF('امتیاز دهی خبرگان'!$J104=2,'طیف فازی'!$D$3,IF('امتیاز دهی خبرگان'!$J104=3,'طیف فازی'!$D$4,IF('امتیاز دهی خبرگان'!$J104=4,'طیف فازی'!$D$5,'طیف فازی'!$D$6)))))</f>
        <v>1</v>
      </c>
      <c r="AA104" s="17">
        <f>IF('امتیاز دهی خبرگان'!$K104=0,0,IF('امتیاز دهی خبرگان'!$K104=1,'طیف فازی'!$B$2,IF('امتیاز دهی خبرگان'!$K104=2,'طیف فازی'!$B$3,IF('امتیاز دهی خبرگان'!$K104=3,'طیف فازی'!$B$4,IF('امتیاز دهی خبرگان'!$K104=4,'طیف فازی'!$B$5,'طیف فازی'!$B$6)))))</f>
        <v>0.5</v>
      </c>
      <c r="AB104" s="18">
        <f>IF('امتیاز دهی خبرگان'!$K104=0,0,IF('امتیاز دهی خبرگان'!$K104=1,'طیف فازی'!$C$2,IF('امتیاز دهی خبرگان'!$K104=2,'طیف فازی'!$C$3,IF('امتیاز دهی خبرگان'!$K104=3,'طیف فازی'!$C$4,IF('امتیاز دهی خبرگان'!$K104=4,'طیف فازی'!$C$5,'طیف فازی'!$C$6)))))</f>
        <v>0.75</v>
      </c>
      <c r="AC104" s="19">
        <f>IF('امتیاز دهی خبرگان'!$K104=0,0,IF('امتیاز دهی خبرگان'!$K104=1,'طیف فازی'!$D$2,IF('امتیاز دهی خبرگان'!$K104=2,'طیف فازی'!$D$3,IF('امتیاز دهی خبرگان'!$K104=3,'طیف فازی'!$D$4,IF('امتیاز دهی خبرگان'!$K104=4,'طیف فازی'!$D$5,'طیف فازی'!$D$6)))))</f>
        <v>1</v>
      </c>
      <c r="AD104" s="17">
        <f>IF('امتیاز دهی خبرگان'!$L104=0,0,IF('امتیاز دهی خبرگان'!$L104=1,'طیف فازی'!$B$2,IF('امتیاز دهی خبرگان'!$L104=2,'طیف فازی'!$B$3,IF('امتیاز دهی خبرگان'!$L104=3,'طیف فازی'!$B$4,IF('امتیاز دهی خبرگان'!$L104=4,'طیف فازی'!$B$5,'طیف فازی'!$B$6)))))</f>
        <v>0.5</v>
      </c>
      <c r="AE104" s="18">
        <f>IF('امتیاز دهی خبرگان'!$L104=0,0,IF('امتیاز دهی خبرگان'!$L104=1,'طیف فازی'!$C$2,IF('امتیاز دهی خبرگان'!$L104=2,'طیف فازی'!$C$3,IF('امتیاز دهی خبرگان'!$L104=3,'طیف فازی'!$C$4,IF('امتیاز دهی خبرگان'!$L104=4,'طیف فازی'!$C$5,'طیف فازی'!$C$6)))))</f>
        <v>0.75</v>
      </c>
      <c r="AF104" s="19">
        <f>IF('امتیاز دهی خبرگان'!$L104=0,0,IF('امتیاز دهی خبرگان'!$L104=1,'طیف فازی'!$D$2,IF('امتیاز دهی خبرگان'!$L104=2,'طیف فازی'!$D$3,IF('امتیاز دهی خبرگان'!$L104=3,'طیف فازی'!$D$4,IF('امتیاز دهی خبرگان'!$L104=4,'طیف فازی'!$D$5,'طیف فازی'!$D$6)))))</f>
        <v>1</v>
      </c>
      <c r="AG104" s="17">
        <f>IF('امتیاز دهی خبرگان'!$M104=0,0,IF('امتیاز دهی خبرگان'!$M104=1,'طیف فازی'!$B$2,IF('امتیاز دهی خبرگان'!$M104=2,'طیف فازی'!$B$3,IF('امتیاز دهی خبرگان'!$M104=3,'طیف فازی'!$B$4,IF('امتیاز دهی خبرگان'!$M104=4,'طیف فازی'!$B$5,'طیف فازی'!$B$6)))))</f>
        <v>0.5</v>
      </c>
      <c r="AH104" s="18">
        <f>IF('امتیاز دهی خبرگان'!$M104=0,0,IF('امتیاز دهی خبرگان'!$M104=1,'طیف فازی'!$C$2,IF('امتیاز دهی خبرگان'!$M104=2,'طیف فازی'!$C$3,IF('امتیاز دهی خبرگان'!$M104=3,'طیف فازی'!$C$4,IF('امتیاز دهی خبرگان'!$M104=4,'طیف فازی'!$C$5,'طیف فازی'!$C$6)))))</f>
        <v>0.75</v>
      </c>
      <c r="AI104" s="19">
        <f>IF('امتیاز دهی خبرگان'!$M104=0,0,IF('امتیاز دهی خبرگان'!$M104=1,'طیف فازی'!$D$2,IF('امتیاز دهی خبرگان'!$M104=2,'طیف فازی'!$D$3,IF('امتیاز دهی خبرگان'!$M104=3,'طیف فازی'!$D$4,IF('امتیاز دهی خبرگان'!$M104=4,'طیف فازی'!$D$5,'طیف فازی'!$D$6)))))</f>
        <v>1</v>
      </c>
      <c r="AJ104" s="17">
        <f>IF('امتیاز دهی خبرگان'!$N104=0,0,IF('امتیاز دهی خبرگان'!$N104=1,'طیف فازی'!$B$2,IF('امتیاز دهی خبرگان'!$N104=2,'طیف فازی'!$B$3,IF('امتیاز دهی خبرگان'!$N104=3,'طیف فازی'!$B$4,IF('امتیاز دهی خبرگان'!$N104=4,'طیف فازی'!$B$5,'طیف فازی'!$B$6)))))</f>
        <v>0.5</v>
      </c>
      <c r="AK104" s="18">
        <f>IF('امتیاز دهی خبرگان'!$N104=0,0,IF('امتیاز دهی خبرگان'!$N104=1,'طیف فازی'!$C$2,IF('امتیاز دهی خبرگان'!$N104=2,'طیف فازی'!$C$3,IF('امتیاز دهی خبرگان'!$N104=3,'طیف فازی'!$C$4,IF('امتیاز دهی خبرگان'!$N104=4,'طیف فازی'!$C$5,'طیف فازی'!$C$6)))))</f>
        <v>0.75</v>
      </c>
      <c r="AL104" s="19">
        <f>IF('امتیاز دهی خبرگان'!$N104=0,0,IF('امتیاز دهی خبرگان'!$N104=1,'طیف فازی'!$D$2,IF('امتیاز دهی خبرگان'!$N104=2,'طیف فازی'!$D$3,IF('امتیاز دهی خبرگان'!$N104=3,'طیف فازی'!$D$4,IF('امتیاز دهی خبرگان'!$N104=4,'طیف فازی'!$D$5,'طیف فازی'!$D$6)))))</f>
        <v>1</v>
      </c>
      <c r="AM104" s="23">
        <f t="shared" si="9"/>
        <v>6.75</v>
      </c>
      <c r="AN104" s="23">
        <f t="shared" si="10"/>
        <v>9.75</v>
      </c>
      <c r="AO104" s="24">
        <f t="shared" si="11"/>
        <v>11.75</v>
      </c>
      <c r="AP104" s="25">
        <f t="shared" si="12"/>
        <v>0.5625</v>
      </c>
      <c r="AQ104" s="23">
        <f t="shared" si="13"/>
        <v>0.8125</v>
      </c>
      <c r="AR104" s="24">
        <f t="shared" si="14"/>
        <v>0.97916666666666663</v>
      </c>
      <c r="AS104" s="24">
        <f t="shared" si="15"/>
        <v>0.78472222222222221</v>
      </c>
      <c r="AT104" s="24" t="str">
        <f t="shared" si="16"/>
        <v>Pass</v>
      </c>
    </row>
    <row r="105" spans="2:46" ht="23.25" customHeight="1" thickBot="1" x14ac:dyDescent="0.85">
      <c r="B105" s="2">
        <v>101</v>
      </c>
      <c r="C105" s="17">
        <f>IF('امتیاز دهی خبرگان'!$C105=0,0,IF('امتیاز دهی خبرگان'!$C105=1,'طیف فازی'!$B$2,IF('امتیاز دهی خبرگان'!$C105=2,'طیف فازی'!$B$3,IF('امتیاز دهی خبرگان'!$C105=3,'طیف فازی'!$B$4,IF('امتیاز دهی خبرگان'!$C105=4,'طیف فازی'!$B$5,'طیف فازی'!$B$6)))))</f>
        <v>0.5</v>
      </c>
      <c r="D105" s="18">
        <f>IF('امتیاز دهی خبرگان'!$C105=0,0,IF('امتیاز دهی خبرگان'!$C105=1,'طیف فازی'!$C$2,IF('امتیاز دهی خبرگان'!$C105=2,'طیف فازی'!$C$3,IF('امتیاز دهی خبرگان'!$C105=3,'طیف فازی'!$C$4,IF('امتیاز دهی خبرگان'!$C105=4,'طیف فازی'!$C$5,'طیف فازی'!$C$6)))))</f>
        <v>0.75</v>
      </c>
      <c r="E105" s="19">
        <f>IF('امتیاز دهی خبرگان'!$C105=0,0,IF('امتیاز دهی خبرگان'!$C105=1,'طیف فازی'!$D$2,IF('امتیاز دهی خبرگان'!$C105=2,'طیف فازی'!$D$3,IF('امتیاز دهی خبرگان'!$C105=3,'طیف فازی'!$D$4,IF('امتیاز دهی خبرگان'!$C105=4,'طیف فازی'!$D$5,'طیف فازی'!$D$6)))))</f>
        <v>1</v>
      </c>
      <c r="F105" s="20">
        <f>IF('امتیاز دهی خبرگان'!$D105=0,0,IF('امتیاز دهی خبرگان'!$D105=1,'طیف فازی'!$B$2,IF('امتیاز دهی خبرگان'!$D105=2,'طیف فازی'!$B$3,IF('امتیاز دهی خبرگان'!$D105=3,'طیف فازی'!$B$4,IF('امتیاز دهی خبرگان'!$D105=4,'طیف فازی'!$B$5,'طیف فازی'!$B$6)))))</f>
        <v>0.25</v>
      </c>
      <c r="G105" s="21">
        <f>IF('امتیاز دهی خبرگان'!$D105=0,0,IF('امتیاز دهی خبرگان'!$D105=1,'طیف فازی'!$D$2,IF('امتیاز دهی خبرگان'!$D105=2,'طیف فازی'!$C$3,IF('امتیاز دهی خبرگان'!$D105=3,'طیف فازی'!$C$4,IF('امتیاز دهی خبرگان'!$D105=4,'طیف فازی'!$C$5,'طیف فازی'!$C$6)))))</f>
        <v>0.5</v>
      </c>
      <c r="H105" s="22">
        <f>IF('امتیاز دهی خبرگان'!$D105=0,0,IF('امتیاز دهی خبرگان'!$D105=1,'طیف فازی'!$D$2,IF('امتیاز دهی خبرگان'!$D105=2,'طیف فازی'!$D$3,IF('امتیاز دهی خبرگان'!$D105=3,'طیف فازی'!$D$4,IF('امتیاز دهی خبرگان'!$D105=4,'طیف فازی'!$D$5,'طیف فازی'!$D$6)))))</f>
        <v>0.75</v>
      </c>
      <c r="I105" s="17">
        <f>IF('امتیاز دهی خبرگان'!$E105=0,0,IF('امتیاز دهی خبرگان'!$E105=1,'طیف فازی'!$B$2,IF('امتیاز دهی خبرگان'!$E105=2,'طیف فازی'!$B$3,IF('امتیاز دهی خبرگان'!$E105=3,'طیف فازی'!$B$4,IF('امتیاز دهی خبرگان'!$E105=4,'طیف فازی'!$B$5,'طیف فازی'!$B$6)))))</f>
        <v>0.5</v>
      </c>
      <c r="J105" s="18">
        <f>IF('امتیاز دهی خبرگان'!$E105=0,0,IF('امتیاز دهی خبرگان'!$E105=1,'طیف فازی'!$C$2,IF('امتیاز دهی خبرگان'!$E105=2,'طیف فازی'!$C$3,IF('امتیاز دهی خبرگان'!$E105=3,'طیف فازی'!$C$4,IF('امتیاز دهی خبرگان'!$E105=4,'طیف فازی'!$C$5,'طیف فازی'!$C$6)))))</f>
        <v>0.75</v>
      </c>
      <c r="K105" s="19">
        <f>IF('امتیاز دهی خبرگان'!$E105=0,0,IF('امتیاز دهی خبرگان'!$E105=1,'طیف فازی'!$D$2,IF('امتیاز دهی خبرگان'!$E105=2,'طیف فازی'!$D$3,IF('امتیاز دهی خبرگان'!$E105=3,'طیف فازی'!$D$4,IF('امتیاز دهی خبرگان'!$E105=4,'طیف فازی'!$D$5,'طیف فازی'!$D$6)))))</f>
        <v>1</v>
      </c>
      <c r="L105" s="17">
        <f>IF('امتیاز دهی خبرگان'!$F105=0,0,IF('امتیاز دهی خبرگان'!$F105=1,'طیف فازی'!$B$2,IF('امتیاز دهی خبرگان'!$F105=2,'طیف فازی'!$B$3,IF('امتیاز دهی خبرگان'!$F105=3,'طیف فازی'!$B$4,IF('امتیاز دهی خبرگان'!$F105=4,'طیف فازی'!$B$5,'طیف فازی'!$B$6)))))</f>
        <v>0.5</v>
      </c>
      <c r="M105" s="18">
        <f>IF('امتیاز دهی خبرگان'!$F105=0,0,IF('امتیاز دهی خبرگان'!$F105=1,'طیف فازی'!$C$2,IF('امتیاز دهی خبرگان'!$F105=2,'طیف فازی'!$C$3,IF('امتیاز دهی خبرگان'!$F105=3,'طیف فازی'!$C$4,IF('امتیاز دهی خبرگان'!$F105=4,'طیف فازی'!$C$5,'طیف فازی'!$C$6)))))</f>
        <v>0.75</v>
      </c>
      <c r="N105" s="19">
        <f>IF('امتیاز دهی خبرگان'!$F105=0,0,IF('امتیاز دهی خبرگان'!$F105=1,'طیف فازی'!$D$2,IF('امتیاز دهی خبرگان'!$F105=2,'طیف فازی'!$D$3,IF('امتیاز دهی خبرگان'!$F105=3,'طیف فازی'!$D$4,IF('امتیاز دهی خبرگان'!$F105=4,'طیف فازی'!$D$5,'طیف فازی'!$D$6)))))</f>
        <v>1</v>
      </c>
      <c r="O105" s="17">
        <f>IF('امتیاز دهی خبرگان'!$G105=0,0,IF('امتیاز دهی خبرگان'!$G105=1,'طیف فازی'!$B$2,IF('امتیاز دهی خبرگان'!$G105=2,'طیف فازی'!$B$3,IF('امتیاز دهی خبرگان'!$G105=3,'طیف فازی'!$B$4,IF('امتیاز دهی خبرگان'!$G105=4,'طیف فازی'!$B$5,'طیف فازی'!$B$6)))))</f>
        <v>0.5</v>
      </c>
      <c r="P105" s="18">
        <f>IF('امتیاز دهی خبرگان'!$G105=0,0,IF('امتیاز دهی خبرگان'!$G105=1,'طیف فازی'!$C$2,IF('امتیاز دهی خبرگان'!$G105=2,'طیف فازی'!$C$3,IF('امتیاز دهی خبرگان'!$G105=3,'طیف فازی'!$C$4,IF('امتیاز دهی خبرگان'!$G105=4,'طیف فازی'!$C$5,'طیف فازی'!$C$6)))))</f>
        <v>0.75</v>
      </c>
      <c r="Q105" s="19">
        <f>IF('امتیاز دهی خبرگان'!$G105=0,0,IF('امتیاز دهی خبرگان'!$G105=1,'طیف فازی'!$D$2,IF('امتیاز دهی خبرگان'!$G105=2,'طیف فازی'!$D$3,IF('امتیاز دهی خبرگان'!$G105=3,'طیف فازی'!$D$4,IF('امتیاز دهی خبرگان'!$G105=4,'طیف فازی'!$D$5,'طیف فازی'!$D$6)))))</f>
        <v>1</v>
      </c>
      <c r="R105" s="17">
        <f>IF('امتیاز دهی خبرگان'!$H105=0,0,IF('امتیاز دهی خبرگان'!$H105=1,'طیف فازی'!$B$2,IF('امتیاز دهی خبرگان'!$H105=2,'طیف فازی'!$B$3,IF('امتیاز دهی خبرگان'!$H105=3,'طیف فازی'!$B$4,IF('امتیاز دهی خبرگان'!$H105=4,'طیف فازی'!$B$5,'طیف فازی'!$B$6)))))</f>
        <v>0.5</v>
      </c>
      <c r="S105" s="18">
        <f>IF('امتیاز دهی خبرگان'!$H105=0,0,IF('امتیاز دهی خبرگان'!$H105=1,'طیف فازی'!$C$2,IF('امتیاز دهی خبرگان'!$H105=2,'طیف فازی'!$C$3,IF('امتیاز دهی خبرگان'!$H105=3,'طیف فازی'!$C$4,IF('امتیاز دهی خبرگان'!$H105=4,'طیف فازی'!$C$5,'طیف فازی'!$C$6)))))</f>
        <v>0.75</v>
      </c>
      <c r="T105" s="19">
        <f>IF('امتیاز دهی خبرگان'!$H105=0,0,IF('امتیاز دهی خبرگان'!$H105=1,'طیف فازی'!$D$2,IF('امتیاز دهی خبرگان'!$H105=2,'طیف فازی'!$D$3,IF('امتیاز دهی خبرگان'!$H105=3,'طیف فازی'!$D$4,IF('امتیاز دهی خبرگان'!$H105=4,'طیف فازی'!$D$5,'طیف فازی'!$D$6)))))</f>
        <v>1</v>
      </c>
      <c r="U105" s="17">
        <f>IF('امتیاز دهی خبرگان'!$I105=0,0,IF('امتیاز دهی خبرگان'!$I105=1,'طیف فازی'!$B$2,IF('امتیاز دهی خبرگان'!$I105=2,'طیف فازی'!$B$3,IF('امتیاز دهی خبرگان'!$I105=3,'طیف فازی'!$B$4,IF('امتیاز دهی خبرگان'!$I105=4,'طیف فازی'!$B$5,'طیف فازی'!$B$6)))))</f>
        <v>0.75</v>
      </c>
      <c r="V105" s="18">
        <f>IF('امتیاز دهی خبرگان'!$I105=0,0,IF('امتیاز دهی خبرگان'!$I105=1,'طیف فازی'!$C$2,IF('امتیاز دهی خبرگان'!$I105=2,'طیف فازی'!$C$3,IF('امتیاز دهی خبرگان'!$I105=3,'طیف فازی'!$C$4,IF('امتیاز دهی خبرگان'!$I105=4,'طیف فازی'!$C$5,'طیف فازی'!$C$6)))))</f>
        <v>1</v>
      </c>
      <c r="W105" s="19">
        <f>IF('امتیاز دهی خبرگان'!$I105=0,0,IF('امتیاز دهی خبرگان'!$I105=1,'طیف فازی'!$D$2,IF('امتیاز دهی خبرگان'!$I105=2,'طیف فازی'!$D$3,IF('امتیاز دهی خبرگان'!$I105=3,'طیف فازی'!$D$4,IF('امتیاز دهی خبرگان'!$I105=4,'طیف فازی'!$D$5,'طیف فازی'!$D$6)))))</f>
        <v>1</v>
      </c>
      <c r="X105" s="17">
        <f>IF('امتیاز دهی خبرگان'!$J105=0,0,IF('امتیاز دهی خبرگان'!$J105=1,'طیف فازی'!$B$2,IF('امتیاز دهی خبرگان'!$J105=2,'طیف فازی'!$B$3,IF('امتیاز دهی خبرگان'!$J105=3,'طیف فازی'!$B$4,IF('امتیاز دهی خبرگان'!$J105=4,'طیف فازی'!$B$5,'طیف فازی'!$B$6)))))</f>
        <v>0.5</v>
      </c>
      <c r="Y105" s="18">
        <f>IF('امتیاز دهی خبرگان'!$J105=0,0,IF('امتیاز دهی خبرگان'!$J105=1,'طیف فازی'!$C$2,IF('امتیاز دهی خبرگان'!$J105=2,'طیف فازی'!$C$3,IF('امتیاز دهی خبرگان'!$J105=3,'طیف فازی'!$C$4,IF('امتیاز دهی خبرگان'!$J105=4,'طیف فازی'!$C$5,'طیف فازی'!$C$6)))))</f>
        <v>0.75</v>
      </c>
      <c r="Z105" s="19">
        <f>IF('امتیاز دهی خبرگان'!$J105=0,0,IF('امتیاز دهی خبرگان'!$J105=1,'طیف فازی'!$D$2,IF('امتیاز دهی خبرگان'!$J105=2,'طیف فازی'!$D$3,IF('امتیاز دهی خبرگان'!$J105=3,'طیف فازی'!$D$4,IF('امتیاز دهی خبرگان'!$J105=4,'طیف فازی'!$D$5,'طیف فازی'!$D$6)))))</f>
        <v>1</v>
      </c>
      <c r="AA105" s="17">
        <f>IF('امتیاز دهی خبرگان'!$K105=0,0,IF('امتیاز دهی خبرگان'!$K105=1,'طیف فازی'!$B$2,IF('امتیاز دهی خبرگان'!$K105=2,'طیف فازی'!$B$3,IF('امتیاز دهی خبرگان'!$K105=3,'طیف فازی'!$B$4,IF('امتیاز دهی خبرگان'!$K105=4,'طیف فازی'!$B$5,'طیف فازی'!$B$6)))))</f>
        <v>0.75</v>
      </c>
      <c r="AB105" s="18">
        <f>IF('امتیاز دهی خبرگان'!$K105=0,0,IF('امتیاز دهی خبرگان'!$K105=1,'طیف فازی'!$C$2,IF('امتیاز دهی خبرگان'!$K105=2,'طیف فازی'!$C$3,IF('امتیاز دهی خبرگان'!$K105=3,'طیف فازی'!$C$4,IF('امتیاز دهی خبرگان'!$K105=4,'طیف فازی'!$C$5,'طیف فازی'!$C$6)))))</f>
        <v>1</v>
      </c>
      <c r="AC105" s="19">
        <f>IF('امتیاز دهی خبرگان'!$K105=0,0,IF('امتیاز دهی خبرگان'!$K105=1,'طیف فازی'!$D$2,IF('امتیاز دهی خبرگان'!$K105=2,'طیف فازی'!$D$3,IF('امتیاز دهی خبرگان'!$K105=3,'طیف فازی'!$D$4,IF('امتیاز دهی خبرگان'!$K105=4,'طیف فازی'!$D$5,'طیف فازی'!$D$6)))))</f>
        <v>1</v>
      </c>
      <c r="AD105" s="17">
        <f>IF('امتیاز دهی خبرگان'!$L105=0,0,IF('امتیاز دهی خبرگان'!$L105=1,'طیف فازی'!$B$2,IF('امتیاز دهی خبرگان'!$L105=2,'طیف فازی'!$B$3,IF('امتیاز دهی خبرگان'!$L105=3,'طیف فازی'!$B$4,IF('امتیاز دهی خبرگان'!$L105=4,'طیف فازی'!$B$5,'طیف فازی'!$B$6)))))</f>
        <v>0.5</v>
      </c>
      <c r="AE105" s="18">
        <f>IF('امتیاز دهی خبرگان'!$L105=0,0,IF('امتیاز دهی خبرگان'!$L105=1,'طیف فازی'!$C$2,IF('امتیاز دهی خبرگان'!$L105=2,'طیف فازی'!$C$3,IF('امتیاز دهی خبرگان'!$L105=3,'طیف فازی'!$C$4,IF('امتیاز دهی خبرگان'!$L105=4,'طیف فازی'!$C$5,'طیف فازی'!$C$6)))))</f>
        <v>0.75</v>
      </c>
      <c r="AF105" s="19">
        <f>IF('امتیاز دهی خبرگان'!$L105=0,0,IF('امتیاز دهی خبرگان'!$L105=1,'طیف فازی'!$D$2,IF('امتیاز دهی خبرگان'!$L105=2,'طیف فازی'!$D$3,IF('امتیاز دهی خبرگان'!$L105=3,'طیف فازی'!$D$4,IF('امتیاز دهی خبرگان'!$L105=4,'طیف فازی'!$D$5,'طیف فازی'!$D$6)))))</f>
        <v>1</v>
      </c>
      <c r="AG105" s="17">
        <f>IF('امتیاز دهی خبرگان'!$M105=0,0,IF('امتیاز دهی خبرگان'!$M105=1,'طیف فازی'!$B$2,IF('امتیاز دهی خبرگان'!$M105=2,'طیف فازی'!$B$3,IF('امتیاز دهی خبرگان'!$M105=3,'طیف فازی'!$B$4,IF('امتیاز دهی خبرگان'!$M105=4,'طیف فازی'!$B$5,'طیف فازی'!$B$6)))))</f>
        <v>0.5</v>
      </c>
      <c r="AH105" s="18">
        <f>IF('امتیاز دهی خبرگان'!$M105=0,0,IF('امتیاز دهی خبرگان'!$M105=1,'طیف فازی'!$C$2,IF('امتیاز دهی خبرگان'!$M105=2,'طیف فازی'!$C$3,IF('امتیاز دهی خبرگان'!$M105=3,'طیف فازی'!$C$4,IF('امتیاز دهی خبرگان'!$M105=4,'طیف فازی'!$C$5,'طیف فازی'!$C$6)))))</f>
        <v>0.75</v>
      </c>
      <c r="AI105" s="19">
        <f>IF('امتیاز دهی خبرگان'!$M105=0,0,IF('امتیاز دهی خبرگان'!$M105=1,'طیف فازی'!$D$2,IF('امتیاز دهی خبرگان'!$M105=2,'طیف فازی'!$D$3,IF('امتیاز دهی خبرگان'!$M105=3,'طیف فازی'!$D$4,IF('امتیاز دهی خبرگان'!$M105=4,'طیف فازی'!$D$5,'طیف فازی'!$D$6)))))</f>
        <v>1</v>
      </c>
      <c r="AJ105" s="17">
        <f>IF('امتیاز دهی خبرگان'!$N105=0,0,IF('امتیاز دهی خبرگان'!$N105=1,'طیف فازی'!$B$2,IF('امتیاز دهی خبرگان'!$N105=2,'طیف فازی'!$B$3,IF('امتیاز دهی خبرگان'!$N105=3,'طیف فازی'!$B$4,IF('امتیاز دهی خبرگان'!$N105=4,'طیف فازی'!$B$5,'طیف فازی'!$B$6)))))</f>
        <v>0.75</v>
      </c>
      <c r="AK105" s="18">
        <f>IF('امتیاز دهی خبرگان'!$N105=0,0,IF('امتیاز دهی خبرگان'!$N105=1,'طیف فازی'!$C$2,IF('امتیاز دهی خبرگان'!$N105=2,'طیف فازی'!$C$3,IF('امتیاز دهی خبرگان'!$N105=3,'طیف فازی'!$C$4,IF('امتیاز دهی خبرگان'!$N105=4,'طیف فازی'!$C$5,'طیف فازی'!$C$6)))))</f>
        <v>1</v>
      </c>
      <c r="AL105" s="19">
        <f>IF('امتیاز دهی خبرگان'!$N105=0,0,IF('امتیاز دهی خبرگان'!$N105=1,'طیف فازی'!$D$2,IF('امتیاز دهی خبرگان'!$N105=2,'طیف فازی'!$D$3,IF('امتیاز دهی خبرگان'!$N105=3,'طیف فازی'!$D$4,IF('امتیاز دهی خبرگان'!$N105=4,'طیف فازی'!$D$5,'طیف فازی'!$D$6)))))</f>
        <v>1</v>
      </c>
      <c r="AM105" s="23">
        <f t="shared" si="9"/>
        <v>6.5</v>
      </c>
      <c r="AN105" s="23">
        <f t="shared" si="10"/>
        <v>9.5</v>
      </c>
      <c r="AO105" s="24">
        <f t="shared" si="11"/>
        <v>11.75</v>
      </c>
      <c r="AP105" s="25">
        <f t="shared" si="12"/>
        <v>0.54166666666666663</v>
      </c>
      <c r="AQ105" s="23">
        <f t="shared" si="13"/>
        <v>0.79166666666666663</v>
      </c>
      <c r="AR105" s="24">
        <f t="shared" si="14"/>
        <v>0.97916666666666663</v>
      </c>
      <c r="AS105" s="24">
        <f t="shared" si="15"/>
        <v>0.77083333333333337</v>
      </c>
      <c r="AT105" s="24" t="str">
        <f t="shared" si="16"/>
        <v>Pass</v>
      </c>
    </row>
    <row r="106" spans="2:46" ht="23.25" customHeight="1" thickBot="1" x14ac:dyDescent="0.85">
      <c r="B106" s="2">
        <v>102</v>
      </c>
      <c r="C106" s="17">
        <f>IF('امتیاز دهی خبرگان'!$C106=0,0,IF('امتیاز دهی خبرگان'!$C106=1,'طیف فازی'!$B$2,IF('امتیاز دهی خبرگان'!$C106=2,'طیف فازی'!$B$3,IF('امتیاز دهی خبرگان'!$C106=3,'طیف فازی'!$B$4,IF('امتیاز دهی خبرگان'!$C106=4,'طیف فازی'!$B$5,'طیف فازی'!$B$6)))))</f>
        <v>0.75</v>
      </c>
      <c r="D106" s="18">
        <f>IF('امتیاز دهی خبرگان'!$C106=0,0,IF('امتیاز دهی خبرگان'!$C106=1,'طیف فازی'!$C$2,IF('امتیاز دهی خبرگان'!$C106=2,'طیف فازی'!$C$3,IF('امتیاز دهی خبرگان'!$C106=3,'طیف فازی'!$C$4,IF('امتیاز دهی خبرگان'!$C106=4,'طیف فازی'!$C$5,'طیف فازی'!$C$6)))))</f>
        <v>1</v>
      </c>
      <c r="E106" s="19">
        <f>IF('امتیاز دهی خبرگان'!$C106=0,0,IF('امتیاز دهی خبرگان'!$C106=1,'طیف فازی'!$D$2,IF('امتیاز دهی خبرگان'!$C106=2,'طیف فازی'!$D$3,IF('امتیاز دهی خبرگان'!$C106=3,'طیف فازی'!$D$4,IF('امتیاز دهی خبرگان'!$C106=4,'طیف فازی'!$D$5,'طیف فازی'!$D$6)))))</f>
        <v>1</v>
      </c>
      <c r="F106" s="20">
        <f>IF('امتیاز دهی خبرگان'!$D106=0,0,IF('امتیاز دهی خبرگان'!$D106=1,'طیف فازی'!$B$2,IF('امتیاز دهی خبرگان'!$D106=2,'طیف فازی'!$B$3,IF('امتیاز دهی خبرگان'!$D106=3,'طیف فازی'!$B$4,IF('امتیاز دهی خبرگان'!$D106=4,'طیف فازی'!$B$5,'طیف فازی'!$B$6)))))</f>
        <v>0.25</v>
      </c>
      <c r="G106" s="21">
        <f>IF('امتیاز دهی خبرگان'!$D106=0,0,IF('امتیاز دهی خبرگان'!$D106=1,'طیف فازی'!$D$2,IF('امتیاز دهی خبرگان'!$D106=2,'طیف فازی'!$C$3,IF('امتیاز دهی خبرگان'!$D106=3,'طیف فازی'!$C$4,IF('امتیاز دهی خبرگان'!$D106=4,'طیف فازی'!$C$5,'طیف فازی'!$C$6)))))</f>
        <v>0.5</v>
      </c>
      <c r="H106" s="22">
        <f>IF('امتیاز دهی خبرگان'!$D106=0,0,IF('امتیاز دهی خبرگان'!$D106=1,'طیف فازی'!$D$2,IF('امتیاز دهی خبرگان'!$D106=2,'طیف فازی'!$D$3,IF('امتیاز دهی خبرگان'!$D106=3,'طیف فازی'!$D$4,IF('امتیاز دهی خبرگان'!$D106=4,'طیف فازی'!$D$5,'طیف فازی'!$D$6)))))</f>
        <v>0.75</v>
      </c>
      <c r="I106" s="17">
        <f>IF('امتیاز دهی خبرگان'!$E106=0,0,IF('امتیاز دهی خبرگان'!$E106=1,'طیف فازی'!$B$2,IF('امتیاز دهی خبرگان'!$E106=2,'طیف فازی'!$B$3,IF('امتیاز دهی خبرگان'!$E106=3,'طیف فازی'!$B$4,IF('امتیاز دهی خبرگان'!$E106=4,'طیف فازی'!$B$5,'طیف فازی'!$B$6)))))</f>
        <v>0</v>
      </c>
      <c r="J106" s="18">
        <f>IF('امتیاز دهی خبرگان'!$E106=0,0,IF('امتیاز دهی خبرگان'!$E106=1,'طیف فازی'!$C$2,IF('امتیاز دهی خبرگان'!$E106=2,'طیف فازی'!$C$3,IF('امتیاز دهی خبرگان'!$E106=3,'طیف فازی'!$C$4,IF('امتیاز دهی خبرگان'!$E106=4,'طیف فازی'!$C$5,'طیف فازی'!$C$6)))))</f>
        <v>0.25</v>
      </c>
      <c r="K106" s="19">
        <f>IF('امتیاز دهی خبرگان'!$E106=0,0,IF('امتیاز دهی خبرگان'!$E106=1,'طیف فازی'!$D$2,IF('امتیاز دهی خبرگان'!$E106=2,'طیف فازی'!$D$3,IF('امتیاز دهی خبرگان'!$E106=3,'طیف فازی'!$D$4,IF('امتیاز دهی خبرگان'!$E106=4,'طیف فازی'!$D$5,'طیف فازی'!$D$6)))))</f>
        <v>0.5</v>
      </c>
      <c r="L106" s="17">
        <f>IF('امتیاز دهی خبرگان'!$F106=0,0,IF('امتیاز دهی خبرگان'!$F106=1,'طیف فازی'!$B$2,IF('امتیاز دهی خبرگان'!$F106=2,'طیف فازی'!$B$3,IF('امتیاز دهی خبرگان'!$F106=3,'طیف فازی'!$B$4,IF('امتیاز دهی خبرگان'!$F106=4,'طیف فازی'!$B$5,'طیف فازی'!$B$6)))))</f>
        <v>0.75</v>
      </c>
      <c r="M106" s="18">
        <f>IF('امتیاز دهی خبرگان'!$F106=0,0,IF('امتیاز دهی خبرگان'!$F106=1,'طیف فازی'!$C$2,IF('امتیاز دهی خبرگان'!$F106=2,'طیف فازی'!$C$3,IF('امتیاز دهی خبرگان'!$F106=3,'طیف فازی'!$C$4,IF('امتیاز دهی خبرگان'!$F106=4,'طیف فازی'!$C$5,'طیف فازی'!$C$6)))))</f>
        <v>1</v>
      </c>
      <c r="N106" s="19">
        <f>IF('امتیاز دهی خبرگان'!$F106=0,0,IF('امتیاز دهی خبرگان'!$F106=1,'طیف فازی'!$D$2,IF('امتیاز دهی خبرگان'!$F106=2,'طیف فازی'!$D$3,IF('امتیاز دهی خبرگان'!$F106=3,'طیف فازی'!$D$4,IF('امتیاز دهی خبرگان'!$F106=4,'طیف فازی'!$D$5,'طیف فازی'!$D$6)))))</f>
        <v>1</v>
      </c>
      <c r="O106" s="17">
        <f>IF('امتیاز دهی خبرگان'!$G106=0,0,IF('امتیاز دهی خبرگان'!$G106=1,'طیف فازی'!$B$2,IF('امتیاز دهی خبرگان'!$G106=2,'طیف فازی'!$B$3,IF('امتیاز دهی خبرگان'!$G106=3,'طیف فازی'!$B$4,IF('امتیاز دهی خبرگان'!$G106=4,'طیف فازی'!$B$5,'طیف فازی'!$B$6)))))</f>
        <v>0.75</v>
      </c>
      <c r="P106" s="18">
        <f>IF('امتیاز دهی خبرگان'!$G106=0,0,IF('امتیاز دهی خبرگان'!$G106=1,'طیف فازی'!$C$2,IF('امتیاز دهی خبرگان'!$G106=2,'طیف فازی'!$C$3,IF('امتیاز دهی خبرگان'!$G106=3,'طیف فازی'!$C$4,IF('امتیاز دهی خبرگان'!$G106=4,'طیف فازی'!$C$5,'طیف فازی'!$C$6)))))</f>
        <v>1</v>
      </c>
      <c r="Q106" s="19">
        <f>IF('امتیاز دهی خبرگان'!$G106=0,0,IF('امتیاز دهی خبرگان'!$G106=1,'طیف فازی'!$D$2,IF('امتیاز دهی خبرگان'!$G106=2,'طیف فازی'!$D$3,IF('امتیاز دهی خبرگان'!$G106=3,'طیف فازی'!$D$4,IF('امتیاز دهی خبرگان'!$G106=4,'طیف فازی'!$D$5,'طیف فازی'!$D$6)))))</f>
        <v>1</v>
      </c>
      <c r="R106" s="17">
        <f>IF('امتیاز دهی خبرگان'!$H106=0,0,IF('امتیاز دهی خبرگان'!$H106=1,'طیف فازی'!$B$2,IF('امتیاز دهی خبرگان'!$H106=2,'طیف فازی'!$B$3,IF('امتیاز دهی خبرگان'!$H106=3,'طیف فازی'!$B$4,IF('امتیاز دهی خبرگان'!$H106=4,'طیف فازی'!$B$5,'طیف فازی'!$B$6)))))</f>
        <v>0.5</v>
      </c>
      <c r="S106" s="18">
        <f>IF('امتیاز دهی خبرگان'!$H106=0,0,IF('امتیاز دهی خبرگان'!$H106=1,'طیف فازی'!$C$2,IF('امتیاز دهی خبرگان'!$H106=2,'طیف فازی'!$C$3,IF('امتیاز دهی خبرگان'!$H106=3,'طیف فازی'!$C$4,IF('امتیاز دهی خبرگان'!$H106=4,'طیف فازی'!$C$5,'طیف فازی'!$C$6)))))</f>
        <v>0.75</v>
      </c>
      <c r="T106" s="19">
        <f>IF('امتیاز دهی خبرگان'!$H106=0,0,IF('امتیاز دهی خبرگان'!$H106=1,'طیف فازی'!$D$2,IF('امتیاز دهی خبرگان'!$H106=2,'طیف فازی'!$D$3,IF('امتیاز دهی خبرگان'!$H106=3,'طیف فازی'!$D$4,IF('امتیاز دهی خبرگان'!$H106=4,'طیف فازی'!$D$5,'طیف فازی'!$D$6)))))</f>
        <v>1</v>
      </c>
      <c r="U106" s="17">
        <f>IF('امتیاز دهی خبرگان'!$I106=0,0,IF('امتیاز دهی خبرگان'!$I106=1,'طیف فازی'!$B$2,IF('امتیاز دهی خبرگان'!$I106=2,'طیف فازی'!$B$3,IF('امتیاز دهی خبرگان'!$I106=3,'طیف فازی'!$B$4,IF('امتیاز دهی خبرگان'!$I106=4,'طیف فازی'!$B$5,'طیف فازی'!$B$6)))))</f>
        <v>0.75</v>
      </c>
      <c r="V106" s="18">
        <f>IF('امتیاز دهی خبرگان'!$I106=0,0,IF('امتیاز دهی خبرگان'!$I106=1,'طیف فازی'!$C$2,IF('امتیاز دهی خبرگان'!$I106=2,'طیف فازی'!$C$3,IF('امتیاز دهی خبرگان'!$I106=3,'طیف فازی'!$C$4,IF('امتیاز دهی خبرگان'!$I106=4,'طیف فازی'!$C$5,'طیف فازی'!$C$6)))))</f>
        <v>1</v>
      </c>
      <c r="W106" s="19">
        <f>IF('امتیاز دهی خبرگان'!$I106=0,0,IF('امتیاز دهی خبرگان'!$I106=1,'طیف فازی'!$D$2,IF('امتیاز دهی خبرگان'!$I106=2,'طیف فازی'!$D$3,IF('امتیاز دهی خبرگان'!$I106=3,'طیف فازی'!$D$4,IF('امتیاز دهی خبرگان'!$I106=4,'طیف فازی'!$D$5,'طیف فازی'!$D$6)))))</f>
        <v>1</v>
      </c>
      <c r="X106" s="17">
        <f>IF('امتیاز دهی خبرگان'!$J106=0,0,IF('امتیاز دهی خبرگان'!$J106=1,'طیف فازی'!$B$2,IF('امتیاز دهی خبرگان'!$J106=2,'طیف فازی'!$B$3,IF('امتیاز دهی خبرگان'!$J106=3,'طیف فازی'!$B$4,IF('امتیاز دهی خبرگان'!$J106=4,'طیف فازی'!$B$5,'طیف فازی'!$B$6)))))</f>
        <v>0.5</v>
      </c>
      <c r="Y106" s="18">
        <f>IF('امتیاز دهی خبرگان'!$J106=0,0,IF('امتیاز دهی خبرگان'!$J106=1,'طیف فازی'!$C$2,IF('امتیاز دهی خبرگان'!$J106=2,'طیف فازی'!$C$3,IF('امتیاز دهی خبرگان'!$J106=3,'طیف فازی'!$C$4,IF('امتیاز دهی خبرگان'!$J106=4,'طیف فازی'!$C$5,'طیف فازی'!$C$6)))))</f>
        <v>0.75</v>
      </c>
      <c r="Z106" s="19">
        <f>IF('امتیاز دهی خبرگان'!$J106=0,0,IF('امتیاز دهی خبرگان'!$J106=1,'طیف فازی'!$D$2,IF('امتیاز دهی خبرگان'!$J106=2,'طیف فازی'!$D$3,IF('امتیاز دهی خبرگان'!$J106=3,'طیف فازی'!$D$4,IF('امتیاز دهی خبرگان'!$J106=4,'طیف فازی'!$D$5,'طیف فازی'!$D$6)))))</f>
        <v>1</v>
      </c>
      <c r="AA106" s="17">
        <f>IF('امتیاز دهی خبرگان'!$K106=0,0,IF('امتیاز دهی خبرگان'!$K106=1,'طیف فازی'!$B$2,IF('امتیاز دهی خبرگان'!$K106=2,'طیف فازی'!$B$3,IF('امتیاز دهی خبرگان'!$K106=3,'طیف فازی'!$B$4,IF('امتیاز دهی خبرگان'!$K106=4,'طیف فازی'!$B$5,'طیف فازی'!$B$6)))))</f>
        <v>0.75</v>
      </c>
      <c r="AB106" s="18">
        <f>IF('امتیاز دهی خبرگان'!$K106=0,0,IF('امتیاز دهی خبرگان'!$K106=1,'طیف فازی'!$C$2,IF('امتیاز دهی خبرگان'!$K106=2,'طیف فازی'!$C$3,IF('امتیاز دهی خبرگان'!$K106=3,'طیف فازی'!$C$4,IF('امتیاز دهی خبرگان'!$K106=4,'طیف فازی'!$C$5,'طیف فازی'!$C$6)))))</f>
        <v>1</v>
      </c>
      <c r="AC106" s="19">
        <f>IF('امتیاز دهی خبرگان'!$K106=0,0,IF('امتیاز دهی خبرگان'!$K106=1,'طیف فازی'!$D$2,IF('امتیاز دهی خبرگان'!$K106=2,'طیف فازی'!$D$3,IF('امتیاز دهی خبرگان'!$K106=3,'طیف فازی'!$D$4,IF('امتیاز دهی خبرگان'!$K106=4,'طیف فازی'!$D$5,'طیف فازی'!$D$6)))))</f>
        <v>1</v>
      </c>
      <c r="AD106" s="17">
        <f>IF('امتیاز دهی خبرگان'!$L106=0,0,IF('امتیاز دهی خبرگان'!$L106=1,'طیف فازی'!$B$2,IF('امتیاز دهی خبرگان'!$L106=2,'طیف فازی'!$B$3,IF('امتیاز دهی خبرگان'!$L106=3,'طیف فازی'!$B$4,IF('امتیاز دهی خبرگان'!$L106=4,'طیف فازی'!$B$5,'طیف فازی'!$B$6)))))</f>
        <v>0.75</v>
      </c>
      <c r="AE106" s="18">
        <f>IF('امتیاز دهی خبرگان'!$L106=0,0,IF('امتیاز دهی خبرگان'!$L106=1,'طیف فازی'!$C$2,IF('امتیاز دهی خبرگان'!$L106=2,'طیف فازی'!$C$3,IF('امتیاز دهی خبرگان'!$L106=3,'طیف فازی'!$C$4,IF('امتیاز دهی خبرگان'!$L106=4,'طیف فازی'!$C$5,'طیف فازی'!$C$6)))))</f>
        <v>1</v>
      </c>
      <c r="AF106" s="19">
        <f>IF('امتیاز دهی خبرگان'!$L106=0,0,IF('امتیاز دهی خبرگان'!$L106=1,'طیف فازی'!$D$2,IF('امتیاز دهی خبرگان'!$L106=2,'طیف فازی'!$D$3,IF('امتیاز دهی خبرگان'!$L106=3,'طیف فازی'!$D$4,IF('امتیاز دهی خبرگان'!$L106=4,'طیف فازی'!$D$5,'طیف فازی'!$D$6)))))</f>
        <v>1</v>
      </c>
      <c r="AG106" s="17">
        <f>IF('امتیاز دهی خبرگان'!$M106=0,0,IF('امتیاز دهی خبرگان'!$M106=1,'طیف فازی'!$B$2,IF('امتیاز دهی خبرگان'!$M106=2,'طیف فازی'!$B$3,IF('امتیاز دهی خبرگان'!$M106=3,'طیف فازی'!$B$4,IF('امتیاز دهی خبرگان'!$M106=4,'طیف فازی'!$B$5,'طیف فازی'!$B$6)))))</f>
        <v>0.5</v>
      </c>
      <c r="AH106" s="18">
        <f>IF('امتیاز دهی خبرگان'!$M106=0,0,IF('امتیاز دهی خبرگان'!$M106=1,'طیف فازی'!$C$2,IF('امتیاز دهی خبرگان'!$M106=2,'طیف فازی'!$C$3,IF('امتیاز دهی خبرگان'!$M106=3,'طیف فازی'!$C$4,IF('امتیاز دهی خبرگان'!$M106=4,'طیف فازی'!$C$5,'طیف فازی'!$C$6)))))</f>
        <v>0.75</v>
      </c>
      <c r="AI106" s="19">
        <f>IF('امتیاز دهی خبرگان'!$M106=0,0,IF('امتیاز دهی خبرگان'!$M106=1,'طیف فازی'!$D$2,IF('امتیاز دهی خبرگان'!$M106=2,'طیف فازی'!$D$3,IF('امتیاز دهی خبرگان'!$M106=3,'طیف فازی'!$D$4,IF('امتیاز دهی خبرگان'!$M106=4,'طیف فازی'!$D$5,'طیف فازی'!$D$6)))))</f>
        <v>1</v>
      </c>
      <c r="AJ106" s="17">
        <f>IF('امتیاز دهی خبرگان'!$N106=0,0,IF('امتیاز دهی خبرگان'!$N106=1,'طیف فازی'!$B$2,IF('امتیاز دهی خبرگان'!$N106=2,'طیف فازی'!$B$3,IF('امتیاز دهی خبرگان'!$N106=3,'طیف فازی'!$B$4,IF('امتیاز دهی خبرگان'!$N106=4,'طیف فازی'!$B$5,'طیف فازی'!$B$6)))))</f>
        <v>0.5</v>
      </c>
      <c r="AK106" s="18">
        <f>IF('امتیاز دهی خبرگان'!$N106=0,0,IF('امتیاز دهی خبرگان'!$N106=1,'طیف فازی'!$C$2,IF('امتیاز دهی خبرگان'!$N106=2,'طیف فازی'!$C$3,IF('امتیاز دهی خبرگان'!$N106=3,'طیف فازی'!$C$4,IF('امتیاز دهی خبرگان'!$N106=4,'طیف فازی'!$C$5,'طیف فازی'!$C$6)))))</f>
        <v>0.75</v>
      </c>
      <c r="AL106" s="19">
        <f>IF('امتیاز دهی خبرگان'!$N106=0,0,IF('امتیاز دهی خبرگان'!$N106=1,'طیف فازی'!$D$2,IF('امتیاز دهی خبرگان'!$N106=2,'طیف فازی'!$D$3,IF('امتیاز دهی خبرگان'!$N106=3,'طیف فازی'!$D$4,IF('امتیاز دهی خبرگان'!$N106=4,'طیف فازی'!$D$5,'طیف فازی'!$D$6)))))</f>
        <v>1</v>
      </c>
      <c r="AM106" s="23">
        <f t="shared" si="9"/>
        <v>6.75</v>
      </c>
      <c r="AN106" s="23">
        <f t="shared" si="10"/>
        <v>9.75</v>
      </c>
      <c r="AO106" s="24">
        <f t="shared" si="11"/>
        <v>11.25</v>
      </c>
      <c r="AP106" s="25">
        <f t="shared" si="12"/>
        <v>0.5625</v>
      </c>
      <c r="AQ106" s="23">
        <f t="shared" si="13"/>
        <v>0.8125</v>
      </c>
      <c r="AR106" s="24">
        <f t="shared" si="14"/>
        <v>0.9375</v>
      </c>
      <c r="AS106" s="24">
        <f t="shared" si="15"/>
        <v>0.77083333333333337</v>
      </c>
      <c r="AT106" s="24" t="str">
        <f t="shared" si="16"/>
        <v>Pass</v>
      </c>
    </row>
    <row r="107" spans="2:46" ht="23.25" customHeight="1" thickBot="1" x14ac:dyDescent="0.85">
      <c r="B107" s="2">
        <v>103</v>
      </c>
      <c r="C107" s="17">
        <f>IF('امتیاز دهی خبرگان'!$C107=0,0,IF('امتیاز دهی خبرگان'!$C107=1,'طیف فازی'!$B$2,IF('امتیاز دهی خبرگان'!$C107=2,'طیف فازی'!$B$3,IF('امتیاز دهی خبرگان'!$C107=3,'طیف فازی'!$B$4,IF('امتیاز دهی خبرگان'!$C107=4,'طیف فازی'!$B$5,'طیف فازی'!$B$6)))))</f>
        <v>0.75</v>
      </c>
      <c r="D107" s="18">
        <f>IF('امتیاز دهی خبرگان'!$C107=0,0,IF('امتیاز دهی خبرگان'!$C107=1,'طیف فازی'!$C$2,IF('امتیاز دهی خبرگان'!$C107=2,'طیف فازی'!$C$3,IF('امتیاز دهی خبرگان'!$C107=3,'طیف فازی'!$C$4,IF('امتیاز دهی خبرگان'!$C107=4,'طیف فازی'!$C$5,'طیف فازی'!$C$6)))))</f>
        <v>1</v>
      </c>
      <c r="E107" s="19">
        <f>IF('امتیاز دهی خبرگان'!$C107=0,0,IF('امتیاز دهی خبرگان'!$C107=1,'طیف فازی'!$D$2,IF('امتیاز دهی خبرگان'!$C107=2,'طیف فازی'!$D$3,IF('امتیاز دهی خبرگان'!$C107=3,'طیف فازی'!$D$4,IF('امتیاز دهی خبرگان'!$C107=4,'طیف فازی'!$D$5,'طیف فازی'!$D$6)))))</f>
        <v>1</v>
      </c>
      <c r="F107" s="20">
        <f>IF('امتیاز دهی خبرگان'!$D107=0,0,IF('امتیاز دهی خبرگان'!$D107=1,'طیف فازی'!$B$2,IF('امتیاز دهی خبرگان'!$D107=2,'طیف فازی'!$B$3,IF('امتیاز دهی خبرگان'!$D107=3,'طیف فازی'!$B$4,IF('امتیاز دهی خبرگان'!$D107=4,'طیف فازی'!$B$5,'طیف فازی'!$B$6)))))</f>
        <v>0.25</v>
      </c>
      <c r="G107" s="21">
        <f>IF('امتیاز دهی خبرگان'!$D107=0,0,IF('امتیاز دهی خبرگان'!$D107=1,'طیف فازی'!$D$2,IF('امتیاز دهی خبرگان'!$D107=2,'طیف فازی'!$C$3,IF('امتیاز دهی خبرگان'!$D107=3,'طیف فازی'!$C$4,IF('امتیاز دهی خبرگان'!$D107=4,'طیف فازی'!$C$5,'طیف فازی'!$C$6)))))</f>
        <v>0.5</v>
      </c>
      <c r="H107" s="22">
        <f>IF('امتیاز دهی خبرگان'!$D107=0,0,IF('امتیاز دهی خبرگان'!$D107=1,'طیف فازی'!$D$2,IF('امتیاز دهی خبرگان'!$D107=2,'طیف فازی'!$D$3,IF('امتیاز دهی خبرگان'!$D107=3,'طیف فازی'!$D$4,IF('امتیاز دهی خبرگان'!$D107=4,'طیف فازی'!$D$5,'طیف فازی'!$D$6)))))</f>
        <v>0.75</v>
      </c>
      <c r="I107" s="17">
        <f>IF('امتیاز دهی خبرگان'!$E107=0,0,IF('امتیاز دهی خبرگان'!$E107=1,'طیف فازی'!$B$2,IF('امتیاز دهی خبرگان'!$E107=2,'طیف فازی'!$B$3,IF('امتیاز دهی خبرگان'!$E107=3,'طیف فازی'!$B$4,IF('امتیاز دهی خبرگان'!$E107=4,'طیف فازی'!$B$5,'طیف فازی'!$B$6)))))</f>
        <v>0.75</v>
      </c>
      <c r="J107" s="18">
        <f>IF('امتیاز دهی خبرگان'!$E107=0,0,IF('امتیاز دهی خبرگان'!$E107=1,'طیف فازی'!$C$2,IF('امتیاز دهی خبرگان'!$E107=2,'طیف فازی'!$C$3,IF('امتیاز دهی خبرگان'!$E107=3,'طیف فازی'!$C$4,IF('امتیاز دهی خبرگان'!$E107=4,'طیف فازی'!$C$5,'طیف فازی'!$C$6)))))</f>
        <v>1</v>
      </c>
      <c r="K107" s="19">
        <f>IF('امتیاز دهی خبرگان'!$E107=0,0,IF('امتیاز دهی خبرگان'!$E107=1,'طیف فازی'!$D$2,IF('امتیاز دهی خبرگان'!$E107=2,'طیف فازی'!$D$3,IF('امتیاز دهی خبرگان'!$E107=3,'طیف فازی'!$D$4,IF('امتیاز دهی خبرگان'!$E107=4,'طیف فازی'!$D$5,'طیف فازی'!$D$6)))))</f>
        <v>1</v>
      </c>
      <c r="L107" s="17">
        <f>IF('امتیاز دهی خبرگان'!$F107=0,0,IF('امتیاز دهی خبرگان'!$F107=1,'طیف فازی'!$B$2,IF('امتیاز دهی خبرگان'!$F107=2,'طیف فازی'!$B$3,IF('امتیاز دهی خبرگان'!$F107=3,'طیف فازی'!$B$4,IF('امتیاز دهی خبرگان'!$F107=4,'طیف فازی'!$B$5,'طیف فازی'!$B$6)))))</f>
        <v>0.75</v>
      </c>
      <c r="M107" s="18">
        <f>IF('امتیاز دهی خبرگان'!$F107=0,0,IF('امتیاز دهی خبرگان'!$F107=1,'طیف فازی'!$C$2,IF('امتیاز دهی خبرگان'!$F107=2,'طیف فازی'!$C$3,IF('امتیاز دهی خبرگان'!$F107=3,'طیف فازی'!$C$4,IF('امتیاز دهی خبرگان'!$F107=4,'طیف فازی'!$C$5,'طیف فازی'!$C$6)))))</f>
        <v>1</v>
      </c>
      <c r="N107" s="19">
        <f>IF('امتیاز دهی خبرگان'!$F107=0,0,IF('امتیاز دهی خبرگان'!$F107=1,'طیف فازی'!$D$2,IF('امتیاز دهی خبرگان'!$F107=2,'طیف فازی'!$D$3,IF('امتیاز دهی خبرگان'!$F107=3,'طیف فازی'!$D$4,IF('امتیاز دهی خبرگان'!$F107=4,'طیف فازی'!$D$5,'طیف فازی'!$D$6)))))</f>
        <v>1</v>
      </c>
      <c r="O107" s="17">
        <f>IF('امتیاز دهی خبرگان'!$G107=0,0,IF('امتیاز دهی خبرگان'!$G107=1,'طیف فازی'!$B$2,IF('امتیاز دهی خبرگان'!$G107=2,'طیف فازی'!$B$3,IF('امتیاز دهی خبرگان'!$G107=3,'طیف فازی'!$B$4,IF('امتیاز دهی خبرگان'!$G107=4,'طیف فازی'!$B$5,'طیف فازی'!$B$6)))))</f>
        <v>0.5</v>
      </c>
      <c r="P107" s="18">
        <f>IF('امتیاز دهی خبرگان'!$G107=0,0,IF('امتیاز دهی خبرگان'!$G107=1,'طیف فازی'!$C$2,IF('امتیاز دهی خبرگان'!$G107=2,'طیف فازی'!$C$3,IF('امتیاز دهی خبرگان'!$G107=3,'طیف فازی'!$C$4,IF('امتیاز دهی خبرگان'!$G107=4,'طیف فازی'!$C$5,'طیف فازی'!$C$6)))))</f>
        <v>0.75</v>
      </c>
      <c r="Q107" s="19">
        <f>IF('امتیاز دهی خبرگان'!$G107=0,0,IF('امتیاز دهی خبرگان'!$G107=1,'طیف فازی'!$D$2,IF('امتیاز دهی خبرگان'!$G107=2,'طیف فازی'!$D$3,IF('امتیاز دهی خبرگان'!$G107=3,'طیف فازی'!$D$4,IF('امتیاز دهی خبرگان'!$G107=4,'طیف فازی'!$D$5,'طیف فازی'!$D$6)))))</f>
        <v>1</v>
      </c>
      <c r="R107" s="17">
        <f>IF('امتیاز دهی خبرگان'!$H107=0,0,IF('امتیاز دهی خبرگان'!$H107=1,'طیف فازی'!$B$2,IF('امتیاز دهی خبرگان'!$H107=2,'طیف فازی'!$B$3,IF('امتیاز دهی خبرگان'!$H107=3,'طیف فازی'!$B$4,IF('امتیاز دهی خبرگان'!$H107=4,'طیف فازی'!$B$5,'طیف فازی'!$B$6)))))</f>
        <v>0.25</v>
      </c>
      <c r="S107" s="18">
        <f>IF('امتیاز دهی خبرگان'!$H107=0,0,IF('امتیاز دهی خبرگان'!$H107=1,'طیف فازی'!$C$2,IF('امتیاز دهی خبرگان'!$H107=2,'طیف فازی'!$C$3,IF('امتیاز دهی خبرگان'!$H107=3,'طیف فازی'!$C$4,IF('امتیاز دهی خبرگان'!$H107=4,'طیف فازی'!$C$5,'طیف فازی'!$C$6)))))</f>
        <v>0.5</v>
      </c>
      <c r="T107" s="19">
        <f>IF('امتیاز دهی خبرگان'!$H107=0,0,IF('امتیاز دهی خبرگان'!$H107=1,'طیف فازی'!$D$2,IF('امتیاز دهی خبرگان'!$H107=2,'طیف فازی'!$D$3,IF('امتیاز دهی خبرگان'!$H107=3,'طیف فازی'!$D$4,IF('امتیاز دهی خبرگان'!$H107=4,'طیف فازی'!$D$5,'طیف فازی'!$D$6)))))</f>
        <v>0.75</v>
      </c>
      <c r="U107" s="17">
        <f>IF('امتیاز دهی خبرگان'!$I107=0,0,IF('امتیاز دهی خبرگان'!$I107=1,'طیف فازی'!$B$2,IF('امتیاز دهی خبرگان'!$I107=2,'طیف فازی'!$B$3,IF('امتیاز دهی خبرگان'!$I107=3,'طیف فازی'!$B$4,IF('امتیاز دهی خبرگان'!$I107=4,'طیف فازی'!$B$5,'طیف فازی'!$B$6)))))</f>
        <v>0.5</v>
      </c>
      <c r="V107" s="18">
        <f>IF('امتیاز دهی خبرگان'!$I107=0,0,IF('امتیاز دهی خبرگان'!$I107=1,'طیف فازی'!$C$2,IF('امتیاز دهی خبرگان'!$I107=2,'طیف فازی'!$C$3,IF('امتیاز دهی خبرگان'!$I107=3,'طیف فازی'!$C$4,IF('امتیاز دهی خبرگان'!$I107=4,'طیف فازی'!$C$5,'طیف فازی'!$C$6)))))</f>
        <v>0.75</v>
      </c>
      <c r="W107" s="19">
        <f>IF('امتیاز دهی خبرگان'!$I107=0,0,IF('امتیاز دهی خبرگان'!$I107=1,'طیف فازی'!$D$2,IF('امتیاز دهی خبرگان'!$I107=2,'طیف فازی'!$D$3,IF('امتیاز دهی خبرگان'!$I107=3,'طیف فازی'!$D$4,IF('امتیاز دهی خبرگان'!$I107=4,'طیف فازی'!$D$5,'طیف فازی'!$D$6)))))</f>
        <v>1</v>
      </c>
      <c r="X107" s="17">
        <f>IF('امتیاز دهی خبرگان'!$J107=0,0,IF('امتیاز دهی خبرگان'!$J107=1,'طیف فازی'!$B$2,IF('امتیاز دهی خبرگان'!$J107=2,'طیف فازی'!$B$3,IF('امتیاز دهی خبرگان'!$J107=3,'طیف فازی'!$B$4,IF('امتیاز دهی خبرگان'!$J107=4,'طیف فازی'!$B$5,'طیف فازی'!$B$6)))))</f>
        <v>0.5</v>
      </c>
      <c r="Y107" s="18">
        <f>IF('امتیاز دهی خبرگان'!$J107=0,0,IF('امتیاز دهی خبرگان'!$J107=1,'طیف فازی'!$C$2,IF('امتیاز دهی خبرگان'!$J107=2,'طیف فازی'!$C$3,IF('امتیاز دهی خبرگان'!$J107=3,'طیف فازی'!$C$4,IF('امتیاز دهی خبرگان'!$J107=4,'طیف فازی'!$C$5,'طیف فازی'!$C$6)))))</f>
        <v>0.75</v>
      </c>
      <c r="Z107" s="19">
        <f>IF('امتیاز دهی خبرگان'!$J107=0,0,IF('امتیاز دهی خبرگان'!$J107=1,'طیف فازی'!$D$2,IF('امتیاز دهی خبرگان'!$J107=2,'طیف فازی'!$D$3,IF('امتیاز دهی خبرگان'!$J107=3,'طیف فازی'!$D$4,IF('امتیاز دهی خبرگان'!$J107=4,'طیف فازی'!$D$5,'طیف فازی'!$D$6)))))</f>
        <v>1</v>
      </c>
      <c r="AA107" s="17">
        <f>IF('امتیاز دهی خبرگان'!$K107=0,0,IF('امتیاز دهی خبرگان'!$K107=1,'طیف فازی'!$B$2,IF('امتیاز دهی خبرگان'!$K107=2,'طیف فازی'!$B$3,IF('امتیاز دهی خبرگان'!$K107=3,'طیف فازی'!$B$4,IF('امتیاز دهی خبرگان'!$K107=4,'طیف فازی'!$B$5,'طیف فازی'!$B$6)))))</f>
        <v>0.5</v>
      </c>
      <c r="AB107" s="18">
        <f>IF('امتیاز دهی خبرگان'!$K107=0,0,IF('امتیاز دهی خبرگان'!$K107=1,'طیف فازی'!$C$2,IF('امتیاز دهی خبرگان'!$K107=2,'طیف فازی'!$C$3,IF('امتیاز دهی خبرگان'!$K107=3,'طیف فازی'!$C$4,IF('امتیاز دهی خبرگان'!$K107=4,'طیف فازی'!$C$5,'طیف فازی'!$C$6)))))</f>
        <v>0.75</v>
      </c>
      <c r="AC107" s="19">
        <f>IF('امتیاز دهی خبرگان'!$K107=0,0,IF('امتیاز دهی خبرگان'!$K107=1,'طیف فازی'!$D$2,IF('امتیاز دهی خبرگان'!$K107=2,'طیف فازی'!$D$3,IF('امتیاز دهی خبرگان'!$K107=3,'طیف فازی'!$D$4,IF('امتیاز دهی خبرگان'!$K107=4,'طیف فازی'!$D$5,'طیف فازی'!$D$6)))))</f>
        <v>1</v>
      </c>
      <c r="AD107" s="17">
        <f>IF('امتیاز دهی خبرگان'!$L107=0,0,IF('امتیاز دهی خبرگان'!$L107=1,'طیف فازی'!$B$2,IF('امتیاز دهی خبرگان'!$L107=2,'طیف فازی'!$B$3,IF('امتیاز دهی خبرگان'!$L107=3,'طیف فازی'!$B$4,IF('امتیاز دهی خبرگان'!$L107=4,'طیف فازی'!$B$5,'طیف فازی'!$B$6)))))</f>
        <v>0.5</v>
      </c>
      <c r="AE107" s="18">
        <f>IF('امتیاز دهی خبرگان'!$L107=0,0,IF('امتیاز دهی خبرگان'!$L107=1,'طیف فازی'!$C$2,IF('امتیاز دهی خبرگان'!$L107=2,'طیف فازی'!$C$3,IF('امتیاز دهی خبرگان'!$L107=3,'طیف فازی'!$C$4,IF('امتیاز دهی خبرگان'!$L107=4,'طیف فازی'!$C$5,'طیف فازی'!$C$6)))))</f>
        <v>0.75</v>
      </c>
      <c r="AF107" s="19">
        <f>IF('امتیاز دهی خبرگان'!$L107=0,0,IF('امتیاز دهی خبرگان'!$L107=1,'طیف فازی'!$D$2,IF('امتیاز دهی خبرگان'!$L107=2,'طیف فازی'!$D$3,IF('امتیاز دهی خبرگان'!$L107=3,'طیف فازی'!$D$4,IF('امتیاز دهی خبرگان'!$L107=4,'طیف فازی'!$D$5,'طیف فازی'!$D$6)))))</f>
        <v>1</v>
      </c>
      <c r="AG107" s="17">
        <f>IF('امتیاز دهی خبرگان'!$M107=0,0,IF('امتیاز دهی خبرگان'!$M107=1,'طیف فازی'!$B$2,IF('امتیاز دهی خبرگان'!$M107=2,'طیف فازی'!$B$3,IF('امتیاز دهی خبرگان'!$M107=3,'طیف فازی'!$B$4,IF('امتیاز دهی خبرگان'!$M107=4,'طیف فازی'!$B$5,'طیف فازی'!$B$6)))))</f>
        <v>0.5</v>
      </c>
      <c r="AH107" s="18">
        <f>IF('امتیاز دهی خبرگان'!$M107=0,0,IF('امتیاز دهی خبرگان'!$M107=1,'طیف فازی'!$C$2,IF('امتیاز دهی خبرگان'!$M107=2,'طیف فازی'!$C$3,IF('امتیاز دهی خبرگان'!$M107=3,'طیف فازی'!$C$4,IF('امتیاز دهی خبرگان'!$M107=4,'طیف فازی'!$C$5,'طیف فازی'!$C$6)))))</f>
        <v>0.75</v>
      </c>
      <c r="AI107" s="19">
        <f>IF('امتیاز دهی خبرگان'!$M107=0,0,IF('امتیاز دهی خبرگان'!$M107=1,'طیف فازی'!$D$2,IF('امتیاز دهی خبرگان'!$M107=2,'طیف فازی'!$D$3,IF('امتیاز دهی خبرگان'!$M107=3,'طیف فازی'!$D$4,IF('امتیاز دهی خبرگان'!$M107=4,'طیف فازی'!$D$5,'طیف فازی'!$D$6)))))</f>
        <v>1</v>
      </c>
      <c r="AJ107" s="17">
        <f>IF('امتیاز دهی خبرگان'!$N107=0,0,IF('امتیاز دهی خبرگان'!$N107=1,'طیف فازی'!$B$2,IF('امتیاز دهی خبرگان'!$N107=2,'طیف فازی'!$B$3,IF('امتیاز دهی خبرگان'!$N107=3,'طیف فازی'!$B$4,IF('امتیاز دهی خبرگان'!$N107=4,'طیف فازی'!$B$5,'طیف فازی'!$B$6)))))</f>
        <v>0.5</v>
      </c>
      <c r="AK107" s="18">
        <f>IF('امتیاز دهی خبرگان'!$N107=0,0,IF('امتیاز دهی خبرگان'!$N107=1,'طیف فازی'!$C$2,IF('امتیاز دهی خبرگان'!$N107=2,'طیف فازی'!$C$3,IF('امتیاز دهی خبرگان'!$N107=3,'طیف فازی'!$C$4,IF('امتیاز دهی خبرگان'!$N107=4,'طیف فازی'!$C$5,'طیف فازی'!$C$6)))))</f>
        <v>0.75</v>
      </c>
      <c r="AL107" s="19">
        <f>IF('امتیاز دهی خبرگان'!$N107=0,0,IF('امتیاز دهی خبرگان'!$N107=1,'طیف فازی'!$D$2,IF('امتیاز دهی خبرگان'!$N107=2,'طیف فازی'!$D$3,IF('امتیاز دهی خبرگان'!$N107=3,'طیف فازی'!$D$4,IF('امتیاز دهی خبرگان'!$N107=4,'طیف فازی'!$D$5,'طیف فازی'!$D$6)))))</f>
        <v>1</v>
      </c>
      <c r="AM107" s="23">
        <f t="shared" si="9"/>
        <v>6.25</v>
      </c>
      <c r="AN107" s="23">
        <f t="shared" si="10"/>
        <v>9.25</v>
      </c>
      <c r="AO107" s="24">
        <f t="shared" si="11"/>
        <v>11.5</v>
      </c>
      <c r="AP107" s="25">
        <f t="shared" si="12"/>
        <v>0.52083333333333337</v>
      </c>
      <c r="AQ107" s="23">
        <f t="shared" si="13"/>
        <v>0.77083333333333337</v>
      </c>
      <c r="AR107" s="24">
        <f t="shared" si="14"/>
        <v>0.95833333333333337</v>
      </c>
      <c r="AS107" s="24">
        <f t="shared" si="15"/>
        <v>0.75</v>
      </c>
      <c r="AT107" s="24" t="str">
        <f t="shared" si="16"/>
        <v>Pass</v>
      </c>
    </row>
    <row r="108" spans="2:46" ht="23.25" customHeight="1" thickBot="1" x14ac:dyDescent="0.85">
      <c r="B108" s="2">
        <v>104</v>
      </c>
      <c r="C108" s="17">
        <f>IF('امتیاز دهی خبرگان'!$C108=0,0,IF('امتیاز دهی خبرگان'!$C108=1,'طیف فازی'!$B$2,IF('امتیاز دهی خبرگان'!$C108=2,'طیف فازی'!$B$3,IF('امتیاز دهی خبرگان'!$C108=3,'طیف فازی'!$B$4,IF('امتیاز دهی خبرگان'!$C108=4,'طیف فازی'!$B$5,'طیف فازی'!$B$6)))))</f>
        <v>0.75</v>
      </c>
      <c r="D108" s="18">
        <f>IF('امتیاز دهی خبرگان'!$C108=0,0,IF('امتیاز دهی خبرگان'!$C108=1,'طیف فازی'!$C$2,IF('امتیاز دهی خبرگان'!$C108=2,'طیف فازی'!$C$3,IF('امتیاز دهی خبرگان'!$C108=3,'طیف فازی'!$C$4,IF('امتیاز دهی خبرگان'!$C108=4,'طیف فازی'!$C$5,'طیف فازی'!$C$6)))))</f>
        <v>1</v>
      </c>
      <c r="E108" s="19">
        <f>IF('امتیاز دهی خبرگان'!$C108=0,0,IF('امتیاز دهی خبرگان'!$C108=1,'طیف فازی'!$D$2,IF('امتیاز دهی خبرگان'!$C108=2,'طیف فازی'!$D$3,IF('امتیاز دهی خبرگان'!$C108=3,'طیف فازی'!$D$4,IF('امتیاز دهی خبرگان'!$C108=4,'طیف فازی'!$D$5,'طیف فازی'!$D$6)))))</f>
        <v>1</v>
      </c>
      <c r="F108" s="20">
        <f>IF('امتیاز دهی خبرگان'!$D108=0,0,IF('امتیاز دهی خبرگان'!$D108=1,'طیف فازی'!$B$2,IF('امتیاز دهی خبرگان'!$D108=2,'طیف فازی'!$B$3,IF('امتیاز دهی خبرگان'!$D108=3,'طیف فازی'!$B$4,IF('امتیاز دهی خبرگان'!$D108=4,'طیف فازی'!$B$5,'طیف فازی'!$B$6)))))</f>
        <v>0.5</v>
      </c>
      <c r="G108" s="21">
        <f>IF('امتیاز دهی خبرگان'!$D108=0,0,IF('امتیاز دهی خبرگان'!$D108=1,'طیف فازی'!$D$2,IF('امتیاز دهی خبرگان'!$D108=2,'طیف فازی'!$C$3,IF('امتیاز دهی خبرگان'!$D108=3,'طیف فازی'!$C$4,IF('امتیاز دهی خبرگان'!$D108=4,'طیف فازی'!$C$5,'طیف فازی'!$C$6)))))</f>
        <v>0.75</v>
      </c>
      <c r="H108" s="22">
        <f>IF('امتیاز دهی خبرگان'!$D108=0,0,IF('امتیاز دهی خبرگان'!$D108=1,'طیف فازی'!$D$2,IF('امتیاز دهی خبرگان'!$D108=2,'طیف فازی'!$D$3,IF('امتیاز دهی خبرگان'!$D108=3,'طیف فازی'!$D$4,IF('امتیاز دهی خبرگان'!$D108=4,'طیف فازی'!$D$5,'طیف فازی'!$D$6)))))</f>
        <v>1</v>
      </c>
      <c r="I108" s="17">
        <f>IF('امتیاز دهی خبرگان'!$E108=0,0,IF('امتیاز دهی خبرگان'!$E108=1,'طیف فازی'!$B$2,IF('امتیاز دهی خبرگان'!$E108=2,'طیف فازی'!$B$3,IF('امتیاز دهی خبرگان'!$E108=3,'طیف فازی'!$B$4,IF('امتیاز دهی خبرگان'!$E108=4,'طیف فازی'!$B$5,'طیف فازی'!$B$6)))))</f>
        <v>0</v>
      </c>
      <c r="J108" s="18">
        <f>IF('امتیاز دهی خبرگان'!$E108=0,0,IF('امتیاز دهی خبرگان'!$E108=1,'طیف فازی'!$C$2,IF('امتیاز دهی خبرگان'!$E108=2,'طیف فازی'!$C$3,IF('امتیاز دهی خبرگان'!$E108=3,'طیف فازی'!$C$4,IF('امتیاز دهی خبرگان'!$E108=4,'طیف فازی'!$C$5,'طیف فازی'!$C$6)))))</f>
        <v>0</v>
      </c>
      <c r="K108" s="19">
        <f>IF('امتیاز دهی خبرگان'!$E108=0,0,IF('امتیاز دهی خبرگان'!$E108=1,'طیف فازی'!$D$2,IF('امتیاز دهی خبرگان'!$E108=2,'طیف فازی'!$D$3,IF('امتیاز دهی خبرگان'!$E108=3,'طیف فازی'!$D$4,IF('امتیاز دهی خبرگان'!$E108=4,'طیف فازی'!$D$5,'طیف فازی'!$D$6)))))</f>
        <v>0.25</v>
      </c>
      <c r="L108" s="17">
        <f>IF('امتیاز دهی خبرگان'!$F108=0,0,IF('امتیاز دهی خبرگان'!$F108=1,'طیف فازی'!$B$2,IF('امتیاز دهی خبرگان'!$F108=2,'طیف فازی'!$B$3,IF('امتیاز دهی خبرگان'!$F108=3,'طیف فازی'!$B$4,IF('امتیاز دهی خبرگان'!$F108=4,'طیف فازی'!$B$5,'طیف فازی'!$B$6)))))</f>
        <v>0.75</v>
      </c>
      <c r="M108" s="18">
        <f>IF('امتیاز دهی خبرگان'!$F108=0,0,IF('امتیاز دهی خبرگان'!$F108=1,'طیف فازی'!$C$2,IF('امتیاز دهی خبرگان'!$F108=2,'طیف فازی'!$C$3,IF('امتیاز دهی خبرگان'!$F108=3,'طیف فازی'!$C$4,IF('امتیاز دهی خبرگان'!$F108=4,'طیف فازی'!$C$5,'طیف فازی'!$C$6)))))</f>
        <v>1</v>
      </c>
      <c r="N108" s="19">
        <f>IF('امتیاز دهی خبرگان'!$F108=0,0,IF('امتیاز دهی خبرگان'!$F108=1,'طیف فازی'!$D$2,IF('امتیاز دهی خبرگان'!$F108=2,'طیف فازی'!$D$3,IF('امتیاز دهی خبرگان'!$F108=3,'طیف فازی'!$D$4,IF('امتیاز دهی خبرگان'!$F108=4,'طیف فازی'!$D$5,'طیف فازی'!$D$6)))))</f>
        <v>1</v>
      </c>
      <c r="O108" s="17">
        <f>IF('امتیاز دهی خبرگان'!$G108=0,0,IF('امتیاز دهی خبرگان'!$G108=1,'طیف فازی'!$B$2,IF('امتیاز دهی خبرگان'!$G108=2,'طیف فازی'!$B$3,IF('امتیاز دهی خبرگان'!$G108=3,'طیف فازی'!$B$4,IF('امتیاز دهی خبرگان'!$G108=4,'طیف فازی'!$B$5,'طیف فازی'!$B$6)))))</f>
        <v>0.75</v>
      </c>
      <c r="P108" s="18">
        <f>IF('امتیاز دهی خبرگان'!$G108=0,0,IF('امتیاز دهی خبرگان'!$G108=1,'طیف فازی'!$C$2,IF('امتیاز دهی خبرگان'!$G108=2,'طیف فازی'!$C$3,IF('امتیاز دهی خبرگان'!$G108=3,'طیف فازی'!$C$4,IF('امتیاز دهی خبرگان'!$G108=4,'طیف فازی'!$C$5,'طیف فازی'!$C$6)))))</f>
        <v>1</v>
      </c>
      <c r="Q108" s="19">
        <f>IF('امتیاز دهی خبرگان'!$G108=0,0,IF('امتیاز دهی خبرگان'!$G108=1,'طیف فازی'!$D$2,IF('امتیاز دهی خبرگان'!$G108=2,'طیف فازی'!$D$3,IF('امتیاز دهی خبرگان'!$G108=3,'طیف فازی'!$D$4,IF('امتیاز دهی خبرگان'!$G108=4,'طیف فازی'!$D$5,'طیف فازی'!$D$6)))))</f>
        <v>1</v>
      </c>
      <c r="R108" s="17">
        <f>IF('امتیاز دهی خبرگان'!$H108=0,0,IF('امتیاز دهی خبرگان'!$H108=1,'طیف فازی'!$B$2,IF('امتیاز دهی خبرگان'!$H108=2,'طیف فازی'!$B$3,IF('امتیاز دهی خبرگان'!$H108=3,'طیف فازی'!$B$4,IF('امتیاز دهی خبرگان'!$H108=4,'طیف فازی'!$B$5,'طیف فازی'!$B$6)))))</f>
        <v>0.25</v>
      </c>
      <c r="S108" s="18">
        <f>IF('امتیاز دهی خبرگان'!$H108=0,0,IF('امتیاز دهی خبرگان'!$H108=1,'طیف فازی'!$C$2,IF('امتیاز دهی خبرگان'!$H108=2,'طیف فازی'!$C$3,IF('امتیاز دهی خبرگان'!$H108=3,'طیف فازی'!$C$4,IF('امتیاز دهی خبرگان'!$H108=4,'طیف فازی'!$C$5,'طیف فازی'!$C$6)))))</f>
        <v>0.5</v>
      </c>
      <c r="T108" s="19">
        <f>IF('امتیاز دهی خبرگان'!$H108=0,0,IF('امتیاز دهی خبرگان'!$H108=1,'طیف فازی'!$D$2,IF('امتیاز دهی خبرگان'!$H108=2,'طیف فازی'!$D$3,IF('امتیاز دهی خبرگان'!$H108=3,'طیف فازی'!$D$4,IF('امتیاز دهی خبرگان'!$H108=4,'طیف فازی'!$D$5,'طیف فازی'!$D$6)))))</f>
        <v>0.75</v>
      </c>
      <c r="U108" s="17">
        <f>IF('امتیاز دهی خبرگان'!$I108=0,0,IF('امتیاز دهی خبرگان'!$I108=1,'طیف فازی'!$B$2,IF('امتیاز دهی خبرگان'!$I108=2,'طیف فازی'!$B$3,IF('امتیاز دهی خبرگان'!$I108=3,'طیف فازی'!$B$4,IF('امتیاز دهی خبرگان'!$I108=4,'طیف فازی'!$B$5,'طیف فازی'!$B$6)))))</f>
        <v>0.5</v>
      </c>
      <c r="V108" s="18">
        <f>IF('امتیاز دهی خبرگان'!$I108=0,0,IF('امتیاز دهی خبرگان'!$I108=1,'طیف فازی'!$C$2,IF('امتیاز دهی خبرگان'!$I108=2,'طیف فازی'!$C$3,IF('امتیاز دهی خبرگان'!$I108=3,'طیف فازی'!$C$4,IF('امتیاز دهی خبرگان'!$I108=4,'طیف فازی'!$C$5,'طیف فازی'!$C$6)))))</f>
        <v>0.75</v>
      </c>
      <c r="W108" s="19">
        <f>IF('امتیاز دهی خبرگان'!$I108=0,0,IF('امتیاز دهی خبرگان'!$I108=1,'طیف فازی'!$D$2,IF('امتیاز دهی خبرگان'!$I108=2,'طیف فازی'!$D$3,IF('امتیاز دهی خبرگان'!$I108=3,'طیف فازی'!$D$4,IF('امتیاز دهی خبرگان'!$I108=4,'طیف فازی'!$D$5,'طیف فازی'!$D$6)))))</f>
        <v>1</v>
      </c>
      <c r="X108" s="17">
        <f>IF('امتیاز دهی خبرگان'!$J108=0,0,IF('امتیاز دهی خبرگان'!$J108=1,'طیف فازی'!$B$2,IF('امتیاز دهی خبرگان'!$J108=2,'طیف فازی'!$B$3,IF('امتیاز دهی خبرگان'!$J108=3,'طیف فازی'!$B$4,IF('امتیاز دهی خبرگان'!$J108=4,'طیف فازی'!$B$5,'طیف فازی'!$B$6)))))</f>
        <v>0.75</v>
      </c>
      <c r="Y108" s="18">
        <f>IF('امتیاز دهی خبرگان'!$J108=0,0,IF('امتیاز دهی خبرگان'!$J108=1,'طیف فازی'!$C$2,IF('امتیاز دهی خبرگان'!$J108=2,'طیف فازی'!$C$3,IF('امتیاز دهی خبرگان'!$J108=3,'طیف فازی'!$C$4,IF('امتیاز دهی خبرگان'!$J108=4,'طیف فازی'!$C$5,'طیف فازی'!$C$6)))))</f>
        <v>1</v>
      </c>
      <c r="Z108" s="19">
        <f>IF('امتیاز دهی خبرگان'!$J108=0,0,IF('امتیاز دهی خبرگان'!$J108=1,'طیف فازی'!$D$2,IF('امتیاز دهی خبرگان'!$J108=2,'طیف فازی'!$D$3,IF('امتیاز دهی خبرگان'!$J108=3,'طیف فازی'!$D$4,IF('امتیاز دهی خبرگان'!$J108=4,'طیف فازی'!$D$5,'طیف فازی'!$D$6)))))</f>
        <v>1</v>
      </c>
      <c r="AA108" s="17">
        <f>IF('امتیاز دهی خبرگان'!$K108=0,0,IF('امتیاز دهی خبرگان'!$K108=1,'طیف فازی'!$B$2,IF('امتیاز دهی خبرگان'!$K108=2,'طیف فازی'!$B$3,IF('امتیاز دهی خبرگان'!$K108=3,'طیف فازی'!$B$4,IF('امتیاز دهی خبرگان'!$K108=4,'طیف فازی'!$B$5,'طیف فازی'!$B$6)))))</f>
        <v>0.75</v>
      </c>
      <c r="AB108" s="18">
        <f>IF('امتیاز دهی خبرگان'!$K108=0,0,IF('امتیاز دهی خبرگان'!$K108=1,'طیف فازی'!$C$2,IF('امتیاز دهی خبرگان'!$K108=2,'طیف فازی'!$C$3,IF('امتیاز دهی خبرگان'!$K108=3,'طیف فازی'!$C$4,IF('امتیاز دهی خبرگان'!$K108=4,'طیف فازی'!$C$5,'طیف فازی'!$C$6)))))</f>
        <v>1</v>
      </c>
      <c r="AC108" s="19">
        <f>IF('امتیاز دهی خبرگان'!$K108=0,0,IF('امتیاز دهی خبرگان'!$K108=1,'طیف فازی'!$D$2,IF('امتیاز دهی خبرگان'!$K108=2,'طیف فازی'!$D$3,IF('امتیاز دهی خبرگان'!$K108=3,'طیف فازی'!$D$4,IF('امتیاز دهی خبرگان'!$K108=4,'طیف فازی'!$D$5,'طیف فازی'!$D$6)))))</f>
        <v>1</v>
      </c>
      <c r="AD108" s="17">
        <f>IF('امتیاز دهی خبرگان'!$L108=0,0,IF('امتیاز دهی خبرگان'!$L108=1,'طیف فازی'!$B$2,IF('امتیاز دهی خبرگان'!$L108=2,'طیف فازی'!$B$3,IF('امتیاز دهی خبرگان'!$L108=3,'طیف فازی'!$B$4,IF('امتیاز دهی خبرگان'!$L108=4,'طیف فازی'!$B$5,'طیف فازی'!$B$6)))))</f>
        <v>0.75</v>
      </c>
      <c r="AE108" s="18">
        <f>IF('امتیاز دهی خبرگان'!$L108=0,0,IF('امتیاز دهی خبرگان'!$L108=1,'طیف فازی'!$C$2,IF('امتیاز دهی خبرگان'!$L108=2,'طیف فازی'!$C$3,IF('امتیاز دهی خبرگان'!$L108=3,'طیف فازی'!$C$4,IF('امتیاز دهی خبرگان'!$L108=4,'طیف فازی'!$C$5,'طیف فازی'!$C$6)))))</f>
        <v>1</v>
      </c>
      <c r="AF108" s="19">
        <f>IF('امتیاز دهی خبرگان'!$L108=0,0,IF('امتیاز دهی خبرگان'!$L108=1,'طیف فازی'!$D$2,IF('امتیاز دهی خبرگان'!$L108=2,'طیف فازی'!$D$3,IF('امتیاز دهی خبرگان'!$L108=3,'طیف فازی'!$D$4,IF('امتیاز دهی خبرگان'!$L108=4,'طیف فازی'!$D$5,'طیف فازی'!$D$6)))))</f>
        <v>1</v>
      </c>
      <c r="AG108" s="17">
        <f>IF('امتیاز دهی خبرگان'!$M108=0,0,IF('امتیاز دهی خبرگان'!$M108=1,'طیف فازی'!$B$2,IF('امتیاز دهی خبرگان'!$M108=2,'طیف فازی'!$B$3,IF('امتیاز دهی خبرگان'!$M108=3,'طیف فازی'!$B$4,IF('امتیاز دهی خبرگان'!$M108=4,'طیف فازی'!$B$5,'طیف فازی'!$B$6)))))</f>
        <v>0.75</v>
      </c>
      <c r="AH108" s="18">
        <f>IF('امتیاز دهی خبرگان'!$M108=0,0,IF('امتیاز دهی خبرگان'!$M108=1,'طیف فازی'!$C$2,IF('امتیاز دهی خبرگان'!$M108=2,'طیف فازی'!$C$3,IF('امتیاز دهی خبرگان'!$M108=3,'طیف فازی'!$C$4,IF('امتیاز دهی خبرگان'!$M108=4,'طیف فازی'!$C$5,'طیف فازی'!$C$6)))))</f>
        <v>1</v>
      </c>
      <c r="AI108" s="19">
        <f>IF('امتیاز دهی خبرگان'!$M108=0,0,IF('امتیاز دهی خبرگان'!$M108=1,'طیف فازی'!$D$2,IF('امتیاز دهی خبرگان'!$M108=2,'طیف فازی'!$D$3,IF('امتیاز دهی خبرگان'!$M108=3,'طیف فازی'!$D$4,IF('امتیاز دهی خبرگان'!$M108=4,'طیف فازی'!$D$5,'طیف فازی'!$D$6)))))</f>
        <v>1</v>
      </c>
      <c r="AJ108" s="17">
        <f>IF('امتیاز دهی خبرگان'!$N108=0,0,IF('امتیاز دهی خبرگان'!$N108=1,'طیف فازی'!$B$2,IF('امتیاز دهی خبرگان'!$N108=2,'طیف فازی'!$B$3,IF('امتیاز دهی خبرگان'!$N108=3,'طیف فازی'!$B$4,IF('امتیاز دهی خبرگان'!$N108=4,'طیف فازی'!$B$5,'طیف فازی'!$B$6)))))</f>
        <v>0.5</v>
      </c>
      <c r="AK108" s="18">
        <f>IF('امتیاز دهی خبرگان'!$N108=0,0,IF('امتیاز دهی خبرگان'!$N108=1,'طیف فازی'!$C$2,IF('امتیاز دهی خبرگان'!$N108=2,'طیف فازی'!$C$3,IF('امتیاز دهی خبرگان'!$N108=3,'طیف فازی'!$C$4,IF('امتیاز دهی خبرگان'!$N108=4,'طیف فازی'!$C$5,'طیف فازی'!$C$6)))))</f>
        <v>0.75</v>
      </c>
      <c r="AL108" s="19">
        <f>IF('امتیاز دهی خبرگان'!$N108=0,0,IF('امتیاز دهی خبرگان'!$N108=1,'طیف فازی'!$D$2,IF('امتیاز دهی خبرگان'!$N108=2,'طیف فازی'!$D$3,IF('امتیاز دهی خبرگان'!$N108=3,'طیف فازی'!$D$4,IF('امتیاز دهی خبرگان'!$N108=4,'طیف فازی'!$D$5,'طیف فازی'!$D$6)))))</f>
        <v>1</v>
      </c>
      <c r="AM108" s="23">
        <f t="shared" si="9"/>
        <v>7</v>
      </c>
      <c r="AN108" s="23">
        <f t="shared" si="10"/>
        <v>9.75</v>
      </c>
      <c r="AO108" s="24">
        <f t="shared" si="11"/>
        <v>11</v>
      </c>
      <c r="AP108" s="25">
        <f t="shared" si="12"/>
        <v>0.58333333333333337</v>
      </c>
      <c r="AQ108" s="23">
        <f t="shared" si="13"/>
        <v>0.8125</v>
      </c>
      <c r="AR108" s="24">
        <f t="shared" si="14"/>
        <v>0.91666666666666663</v>
      </c>
      <c r="AS108" s="24">
        <f t="shared" si="15"/>
        <v>0.77083333333333337</v>
      </c>
      <c r="AT108" s="24" t="str">
        <f t="shared" si="16"/>
        <v>Pass</v>
      </c>
    </row>
    <row r="109" spans="2:46" ht="23.25" customHeight="1" thickBot="1" x14ac:dyDescent="0.85">
      <c r="B109" s="2">
        <v>105</v>
      </c>
      <c r="C109" s="17">
        <f>IF('امتیاز دهی خبرگان'!$C109=0,0,IF('امتیاز دهی خبرگان'!$C109=1,'طیف فازی'!$B$2,IF('امتیاز دهی خبرگان'!$C109=2,'طیف فازی'!$B$3,IF('امتیاز دهی خبرگان'!$C109=3,'طیف فازی'!$B$4,IF('امتیاز دهی خبرگان'!$C109=4,'طیف فازی'!$B$5,'طیف فازی'!$B$6)))))</f>
        <v>0.75</v>
      </c>
      <c r="D109" s="18">
        <f>IF('امتیاز دهی خبرگان'!$C109=0,0,IF('امتیاز دهی خبرگان'!$C109=1,'طیف فازی'!$C$2,IF('امتیاز دهی خبرگان'!$C109=2,'طیف فازی'!$C$3,IF('امتیاز دهی خبرگان'!$C109=3,'طیف فازی'!$C$4,IF('امتیاز دهی خبرگان'!$C109=4,'طیف فازی'!$C$5,'طیف فازی'!$C$6)))))</f>
        <v>1</v>
      </c>
      <c r="E109" s="19">
        <f>IF('امتیاز دهی خبرگان'!$C109=0,0,IF('امتیاز دهی خبرگان'!$C109=1,'طیف فازی'!$D$2,IF('امتیاز دهی خبرگان'!$C109=2,'طیف فازی'!$D$3,IF('امتیاز دهی خبرگان'!$C109=3,'طیف فازی'!$D$4,IF('امتیاز دهی خبرگان'!$C109=4,'طیف فازی'!$D$5,'طیف فازی'!$D$6)))))</f>
        <v>1</v>
      </c>
      <c r="F109" s="20">
        <f>IF('امتیاز دهی خبرگان'!$D109=0,0,IF('امتیاز دهی خبرگان'!$D109=1,'طیف فازی'!$B$2,IF('امتیاز دهی خبرگان'!$D109=2,'طیف فازی'!$B$3,IF('امتیاز دهی خبرگان'!$D109=3,'طیف فازی'!$B$4,IF('امتیاز دهی خبرگان'!$D109=4,'طیف فازی'!$B$5,'طیف فازی'!$B$6)))))</f>
        <v>0.25</v>
      </c>
      <c r="G109" s="21">
        <f>IF('امتیاز دهی خبرگان'!$D109=0,0,IF('امتیاز دهی خبرگان'!$D109=1,'طیف فازی'!$D$2,IF('امتیاز دهی خبرگان'!$D109=2,'طیف فازی'!$C$3,IF('امتیاز دهی خبرگان'!$D109=3,'طیف فازی'!$C$4,IF('امتیاز دهی خبرگان'!$D109=4,'طیف فازی'!$C$5,'طیف فازی'!$C$6)))))</f>
        <v>0.5</v>
      </c>
      <c r="H109" s="22">
        <f>IF('امتیاز دهی خبرگان'!$D109=0,0,IF('امتیاز دهی خبرگان'!$D109=1,'طیف فازی'!$D$2,IF('امتیاز دهی خبرگان'!$D109=2,'طیف فازی'!$D$3,IF('امتیاز دهی خبرگان'!$D109=3,'طیف فازی'!$D$4,IF('امتیاز دهی خبرگان'!$D109=4,'طیف فازی'!$D$5,'طیف فازی'!$D$6)))))</f>
        <v>0.75</v>
      </c>
      <c r="I109" s="17">
        <f>IF('امتیاز دهی خبرگان'!$E109=0,0,IF('امتیاز دهی خبرگان'!$E109=1,'طیف فازی'!$B$2,IF('امتیاز دهی خبرگان'!$E109=2,'طیف فازی'!$B$3,IF('امتیاز دهی خبرگان'!$E109=3,'طیف فازی'!$B$4,IF('امتیاز دهی خبرگان'!$E109=4,'طیف فازی'!$B$5,'طیف فازی'!$B$6)))))</f>
        <v>0.5</v>
      </c>
      <c r="J109" s="18">
        <f>IF('امتیاز دهی خبرگان'!$E109=0,0,IF('امتیاز دهی خبرگان'!$E109=1,'طیف فازی'!$C$2,IF('امتیاز دهی خبرگان'!$E109=2,'طیف فازی'!$C$3,IF('امتیاز دهی خبرگان'!$E109=3,'طیف فازی'!$C$4,IF('امتیاز دهی خبرگان'!$E109=4,'طیف فازی'!$C$5,'طیف فازی'!$C$6)))))</f>
        <v>0.75</v>
      </c>
      <c r="K109" s="19">
        <f>IF('امتیاز دهی خبرگان'!$E109=0,0,IF('امتیاز دهی خبرگان'!$E109=1,'طیف فازی'!$D$2,IF('امتیاز دهی خبرگان'!$E109=2,'طیف فازی'!$D$3,IF('امتیاز دهی خبرگان'!$E109=3,'طیف فازی'!$D$4,IF('امتیاز دهی خبرگان'!$E109=4,'طیف فازی'!$D$5,'طیف فازی'!$D$6)))))</f>
        <v>1</v>
      </c>
      <c r="L109" s="17">
        <f>IF('امتیاز دهی خبرگان'!$F109=0,0,IF('امتیاز دهی خبرگان'!$F109=1,'طیف فازی'!$B$2,IF('امتیاز دهی خبرگان'!$F109=2,'طیف فازی'!$B$3,IF('امتیاز دهی خبرگان'!$F109=3,'طیف فازی'!$B$4,IF('امتیاز دهی خبرگان'!$F109=4,'طیف فازی'!$B$5,'طیف فازی'!$B$6)))))</f>
        <v>0.75</v>
      </c>
      <c r="M109" s="18">
        <f>IF('امتیاز دهی خبرگان'!$F109=0,0,IF('امتیاز دهی خبرگان'!$F109=1,'طیف فازی'!$C$2,IF('امتیاز دهی خبرگان'!$F109=2,'طیف فازی'!$C$3,IF('امتیاز دهی خبرگان'!$F109=3,'طیف فازی'!$C$4,IF('امتیاز دهی خبرگان'!$F109=4,'طیف فازی'!$C$5,'طیف فازی'!$C$6)))))</f>
        <v>1</v>
      </c>
      <c r="N109" s="19">
        <f>IF('امتیاز دهی خبرگان'!$F109=0,0,IF('امتیاز دهی خبرگان'!$F109=1,'طیف فازی'!$D$2,IF('امتیاز دهی خبرگان'!$F109=2,'طیف فازی'!$D$3,IF('امتیاز دهی خبرگان'!$F109=3,'طیف فازی'!$D$4,IF('امتیاز دهی خبرگان'!$F109=4,'طیف فازی'!$D$5,'طیف فازی'!$D$6)))))</f>
        <v>1</v>
      </c>
      <c r="O109" s="17">
        <f>IF('امتیاز دهی خبرگان'!$G109=0,0,IF('امتیاز دهی خبرگان'!$G109=1,'طیف فازی'!$B$2,IF('امتیاز دهی خبرگان'!$G109=2,'طیف فازی'!$B$3,IF('امتیاز دهی خبرگان'!$G109=3,'طیف فازی'!$B$4,IF('امتیاز دهی خبرگان'!$G109=4,'طیف فازی'!$B$5,'طیف فازی'!$B$6)))))</f>
        <v>0.5</v>
      </c>
      <c r="P109" s="18">
        <f>IF('امتیاز دهی خبرگان'!$G109=0,0,IF('امتیاز دهی خبرگان'!$G109=1,'طیف فازی'!$C$2,IF('امتیاز دهی خبرگان'!$G109=2,'طیف فازی'!$C$3,IF('امتیاز دهی خبرگان'!$G109=3,'طیف فازی'!$C$4,IF('امتیاز دهی خبرگان'!$G109=4,'طیف فازی'!$C$5,'طیف فازی'!$C$6)))))</f>
        <v>0.75</v>
      </c>
      <c r="Q109" s="19">
        <f>IF('امتیاز دهی خبرگان'!$G109=0,0,IF('امتیاز دهی خبرگان'!$G109=1,'طیف فازی'!$D$2,IF('امتیاز دهی خبرگان'!$G109=2,'طیف فازی'!$D$3,IF('امتیاز دهی خبرگان'!$G109=3,'طیف فازی'!$D$4,IF('امتیاز دهی خبرگان'!$G109=4,'طیف فازی'!$D$5,'طیف فازی'!$D$6)))))</f>
        <v>1</v>
      </c>
      <c r="R109" s="17">
        <f>IF('امتیاز دهی خبرگان'!$H109=0,0,IF('امتیاز دهی خبرگان'!$H109=1,'طیف فازی'!$B$2,IF('امتیاز دهی خبرگان'!$H109=2,'طیف فازی'!$B$3,IF('امتیاز دهی خبرگان'!$H109=3,'طیف فازی'!$B$4,IF('امتیاز دهی خبرگان'!$H109=4,'طیف فازی'!$B$5,'طیف فازی'!$B$6)))))</f>
        <v>0.25</v>
      </c>
      <c r="S109" s="18">
        <f>IF('امتیاز دهی خبرگان'!$H109=0,0,IF('امتیاز دهی خبرگان'!$H109=1,'طیف فازی'!$C$2,IF('امتیاز دهی خبرگان'!$H109=2,'طیف فازی'!$C$3,IF('امتیاز دهی خبرگان'!$H109=3,'طیف فازی'!$C$4,IF('امتیاز دهی خبرگان'!$H109=4,'طیف فازی'!$C$5,'طیف فازی'!$C$6)))))</f>
        <v>0.5</v>
      </c>
      <c r="T109" s="19">
        <f>IF('امتیاز دهی خبرگان'!$H109=0,0,IF('امتیاز دهی خبرگان'!$H109=1,'طیف فازی'!$D$2,IF('امتیاز دهی خبرگان'!$H109=2,'طیف فازی'!$D$3,IF('امتیاز دهی خبرگان'!$H109=3,'طیف فازی'!$D$4,IF('امتیاز دهی خبرگان'!$H109=4,'طیف فازی'!$D$5,'طیف فازی'!$D$6)))))</f>
        <v>0.75</v>
      </c>
      <c r="U109" s="17">
        <f>IF('امتیاز دهی خبرگان'!$I109=0,0,IF('امتیاز دهی خبرگان'!$I109=1,'طیف فازی'!$B$2,IF('امتیاز دهی خبرگان'!$I109=2,'طیف فازی'!$B$3,IF('امتیاز دهی خبرگان'!$I109=3,'طیف فازی'!$B$4,IF('امتیاز دهی خبرگان'!$I109=4,'طیف فازی'!$B$5,'طیف فازی'!$B$6)))))</f>
        <v>0.75</v>
      </c>
      <c r="V109" s="18">
        <f>IF('امتیاز دهی خبرگان'!$I109=0,0,IF('امتیاز دهی خبرگان'!$I109=1,'طیف فازی'!$C$2,IF('امتیاز دهی خبرگان'!$I109=2,'طیف فازی'!$C$3,IF('امتیاز دهی خبرگان'!$I109=3,'طیف فازی'!$C$4,IF('امتیاز دهی خبرگان'!$I109=4,'طیف فازی'!$C$5,'طیف فازی'!$C$6)))))</f>
        <v>1</v>
      </c>
      <c r="W109" s="19">
        <f>IF('امتیاز دهی خبرگان'!$I109=0,0,IF('امتیاز دهی خبرگان'!$I109=1,'طیف فازی'!$D$2,IF('امتیاز دهی خبرگان'!$I109=2,'طیف فازی'!$D$3,IF('امتیاز دهی خبرگان'!$I109=3,'طیف فازی'!$D$4,IF('امتیاز دهی خبرگان'!$I109=4,'طیف فازی'!$D$5,'طیف فازی'!$D$6)))))</f>
        <v>1</v>
      </c>
      <c r="X109" s="17">
        <f>IF('امتیاز دهی خبرگان'!$J109=0,0,IF('امتیاز دهی خبرگان'!$J109=1,'طیف فازی'!$B$2,IF('امتیاز دهی خبرگان'!$J109=2,'طیف فازی'!$B$3,IF('امتیاز دهی خبرگان'!$J109=3,'طیف فازی'!$B$4,IF('امتیاز دهی خبرگان'!$J109=4,'طیف فازی'!$B$5,'طیف فازی'!$B$6)))))</f>
        <v>0.5</v>
      </c>
      <c r="Y109" s="18">
        <f>IF('امتیاز دهی خبرگان'!$J109=0,0,IF('امتیاز دهی خبرگان'!$J109=1,'طیف فازی'!$C$2,IF('امتیاز دهی خبرگان'!$J109=2,'طیف فازی'!$C$3,IF('امتیاز دهی خبرگان'!$J109=3,'طیف فازی'!$C$4,IF('امتیاز دهی خبرگان'!$J109=4,'طیف فازی'!$C$5,'طیف فازی'!$C$6)))))</f>
        <v>0.75</v>
      </c>
      <c r="Z109" s="19">
        <f>IF('امتیاز دهی خبرگان'!$J109=0,0,IF('امتیاز دهی خبرگان'!$J109=1,'طیف فازی'!$D$2,IF('امتیاز دهی خبرگان'!$J109=2,'طیف فازی'!$D$3,IF('امتیاز دهی خبرگان'!$J109=3,'طیف فازی'!$D$4,IF('امتیاز دهی خبرگان'!$J109=4,'طیف فازی'!$D$5,'طیف فازی'!$D$6)))))</f>
        <v>1</v>
      </c>
      <c r="AA109" s="17">
        <f>IF('امتیاز دهی خبرگان'!$K109=0,0,IF('امتیاز دهی خبرگان'!$K109=1,'طیف فازی'!$B$2,IF('امتیاز دهی خبرگان'!$K109=2,'طیف فازی'!$B$3,IF('امتیاز دهی خبرگان'!$K109=3,'طیف فازی'!$B$4,IF('امتیاز دهی خبرگان'!$K109=4,'طیف فازی'!$B$5,'طیف فازی'!$B$6)))))</f>
        <v>0.5</v>
      </c>
      <c r="AB109" s="18">
        <f>IF('امتیاز دهی خبرگان'!$K109=0,0,IF('امتیاز دهی خبرگان'!$K109=1,'طیف فازی'!$C$2,IF('امتیاز دهی خبرگان'!$K109=2,'طیف فازی'!$C$3,IF('امتیاز دهی خبرگان'!$K109=3,'طیف فازی'!$C$4,IF('امتیاز دهی خبرگان'!$K109=4,'طیف فازی'!$C$5,'طیف فازی'!$C$6)))))</f>
        <v>0.75</v>
      </c>
      <c r="AC109" s="19">
        <f>IF('امتیاز دهی خبرگان'!$K109=0,0,IF('امتیاز دهی خبرگان'!$K109=1,'طیف فازی'!$D$2,IF('امتیاز دهی خبرگان'!$K109=2,'طیف فازی'!$D$3,IF('امتیاز دهی خبرگان'!$K109=3,'طیف فازی'!$D$4,IF('امتیاز دهی خبرگان'!$K109=4,'طیف فازی'!$D$5,'طیف فازی'!$D$6)))))</f>
        <v>1</v>
      </c>
      <c r="AD109" s="17">
        <f>IF('امتیاز دهی خبرگان'!$L109=0,0,IF('امتیاز دهی خبرگان'!$L109=1,'طیف فازی'!$B$2,IF('امتیاز دهی خبرگان'!$L109=2,'طیف فازی'!$B$3,IF('امتیاز دهی خبرگان'!$L109=3,'طیف فازی'!$B$4,IF('امتیاز دهی خبرگان'!$L109=4,'طیف فازی'!$B$5,'طیف فازی'!$B$6)))))</f>
        <v>0.75</v>
      </c>
      <c r="AE109" s="18">
        <f>IF('امتیاز دهی خبرگان'!$L109=0,0,IF('امتیاز دهی خبرگان'!$L109=1,'طیف فازی'!$C$2,IF('امتیاز دهی خبرگان'!$L109=2,'طیف فازی'!$C$3,IF('امتیاز دهی خبرگان'!$L109=3,'طیف فازی'!$C$4,IF('امتیاز دهی خبرگان'!$L109=4,'طیف فازی'!$C$5,'طیف فازی'!$C$6)))))</f>
        <v>1</v>
      </c>
      <c r="AF109" s="19">
        <f>IF('امتیاز دهی خبرگان'!$L109=0,0,IF('امتیاز دهی خبرگان'!$L109=1,'طیف فازی'!$D$2,IF('امتیاز دهی خبرگان'!$L109=2,'طیف فازی'!$D$3,IF('امتیاز دهی خبرگان'!$L109=3,'طیف فازی'!$D$4,IF('امتیاز دهی خبرگان'!$L109=4,'طیف فازی'!$D$5,'طیف فازی'!$D$6)))))</f>
        <v>1</v>
      </c>
      <c r="AG109" s="17">
        <f>IF('امتیاز دهی خبرگان'!$M109=0,0,IF('امتیاز دهی خبرگان'!$M109=1,'طیف فازی'!$B$2,IF('امتیاز دهی خبرگان'!$M109=2,'طیف فازی'!$B$3,IF('امتیاز دهی خبرگان'!$M109=3,'طیف فازی'!$B$4,IF('امتیاز دهی خبرگان'!$M109=4,'طیف فازی'!$B$5,'طیف فازی'!$B$6)))))</f>
        <v>0.25</v>
      </c>
      <c r="AH109" s="18">
        <f>IF('امتیاز دهی خبرگان'!$M109=0,0,IF('امتیاز دهی خبرگان'!$M109=1,'طیف فازی'!$C$2,IF('امتیاز دهی خبرگان'!$M109=2,'طیف فازی'!$C$3,IF('امتیاز دهی خبرگان'!$M109=3,'طیف فازی'!$C$4,IF('امتیاز دهی خبرگان'!$M109=4,'طیف فازی'!$C$5,'طیف فازی'!$C$6)))))</f>
        <v>0.5</v>
      </c>
      <c r="AI109" s="19">
        <f>IF('امتیاز دهی خبرگان'!$M109=0,0,IF('امتیاز دهی خبرگان'!$M109=1,'طیف فازی'!$D$2,IF('امتیاز دهی خبرگان'!$M109=2,'طیف فازی'!$D$3,IF('امتیاز دهی خبرگان'!$M109=3,'طیف فازی'!$D$4,IF('امتیاز دهی خبرگان'!$M109=4,'طیف فازی'!$D$5,'طیف فازی'!$D$6)))))</f>
        <v>0.75</v>
      </c>
      <c r="AJ109" s="17">
        <f>IF('امتیاز دهی خبرگان'!$N109=0,0,IF('امتیاز دهی خبرگان'!$N109=1,'طیف فازی'!$B$2,IF('امتیاز دهی خبرگان'!$N109=2,'طیف فازی'!$B$3,IF('امتیاز دهی خبرگان'!$N109=3,'طیف فازی'!$B$4,IF('امتیاز دهی خبرگان'!$N109=4,'طیف فازی'!$B$5,'طیف فازی'!$B$6)))))</f>
        <v>0.5</v>
      </c>
      <c r="AK109" s="18">
        <f>IF('امتیاز دهی خبرگان'!$N109=0,0,IF('امتیاز دهی خبرگان'!$N109=1,'طیف فازی'!$C$2,IF('امتیاز دهی خبرگان'!$N109=2,'طیف فازی'!$C$3,IF('امتیاز دهی خبرگان'!$N109=3,'طیف فازی'!$C$4,IF('امتیاز دهی خبرگان'!$N109=4,'طیف فازی'!$C$5,'طیف فازی'!$C$6)))))</f>
        <v>0.75</v>
      </c>
      <c r="AL109" s="19">
        <f>IF('امتیاز دهی خبرگان'!$N109=0,0,IF('امتیاز دهی خبرگان'!$N109=1,'طیف فازی'!$D$2,IF('امتیاز دهی خبرگان'!$N109=2,'طیف فازی'!$D$3,IF('امتیاز دهی خبرگان'!$N109=3,'طیف فازی'!$D$4,IF('امتیاز دهی خبرگان'!$N109=4,'طیف فازی'!$D$5,'طیف فازی'!$D$6)))))</f>
        <v>1</v>
      </c>
      <c r="AM109" s="23">
        <f t="shared" si="9"/>
        <v>6.25</v>
      </c>
      <c r="AN109" s="23">
        <f t="shared" si="10"/>
        <v>9.25</v>
      </c>
      <c r="AO109" s="24">
        <f t="shared" si="11"/>
        <v>11.25</v>
      </c>
      <c r="AP109" s="25">
        <f t="shared" si="12"/>
        <v>0.52083333333333337</v>
      </c>
      <c r="AQ109" s="23">
        <f t="shared" si="13"/>
        <v>0.77083333333333337</v>
      </c>
      <c r="AR109" s="24">
        <f t="shared" si="14"/>
        <v>0.9375</v>
      </c>
      <c r="AS109" s="24">
        <f t="shared" si="15"/>
        <v>0.74305555555555569</v>
      </c>
      <c r="AT109" s="24" t="str">
        <f t="shared" si="16"/>
        <v>Pass</v>
      </c>
    </row>
    <row r="110" spans="2:46" ht="23.25" customHeight="1" thickBot="1" x14ac:dyDescent="0.85">
      <c r="B110" s="2">
        <v>106</v>
      </c>
      <c r="C110" s="17">
        <f>IF('امتیاز دهی خبرگان'!$C110=0,0,IF('امتیاز دهی خبرگان'!$C110=1,'طیف فازی'!$B$2,IF('امتیاز دهی خبرگان'!$C110=2,'طیف فازی'!$B$3,IF('امتیاز دهی خبرگان'!$C110=3,'طیف فازی'!$B$4,IF('امتیاز دهی خبرگان'!$C110=4,'طیف فازی'!$B$5,'طیف فازی'!$B$6)))))</f>
        <v>0.75</v>
      </c>
      <c r="D110" s="18">
        <f>IF('امتیاز دهی خبرگان'!$C110=0,0,IF('امتیاز دهی خبرگان'!$C110=1,'طیف فازی'!$C$2,IF('امتیاز دهی خبرگان'!$C110=2,'طیف فازی'!$C$3,IF('امتیاز دهی خبرگان'!$C110=3,'طیف فازی'!$C$4,IF('امتیاز دهی خبرگان'!$C110=4,'طیف فازی'!$C$5,'طیف فازی'!$C$6)))))</f>
        <v>1</v>
      </c>
      <c r="E110" s="19">
        <f>IF('امتیاز دهی خبرگان'!$C110=0,0,IF('امتیاز دهی خبرگان'!$C110=1,'طیف فازی'!$D$2,IF('امتیاز دهی خبرگان'!$C110=2,'طیف فازی'!$D$3,IF('امتیاز دهی خبرگان'!$C110=3,'طیف فازی'!$D$4,IF('امتیاز دهی خبرگان'!$C110=4,'طیف فازی'!$D$5,'طیف فازی'!$D$6)))))</f>
        <v>1</v>
      </c>
      <c r="F110" s="20">
        <f>IF('امتیاز دهی خبرگان'!$D110=0,0,IF('امتیاز دهی خبرگان'!$D110=1,'طیف فازی'!$B$2,IF('امتیاز دهی خبرگان'!$D110=2,'طیف فازی'!$B$3,IF('امتیاز دهی خبرگان'!$D110=3,'طیف فازی'!$B$4,IF('امتیاز دهی خبرگان'!$D110=4,'طیف فازی'!$B$5,'طیف فازی'!$B$6)))))</f>
        <v>0</v>
      </c>
      <c r="G110" s="21">
        <f>IF('امتیاز دهی خبرگان'!$D110=0,0,IF('امتیاز دهی خبرگان'!$D110=1,'طیف فازی'!$D$2,IF('امتیاز دهی خبرگان'!$D110=2,'طیف فازی'!$C$3,IF('امتیاز دهی خبرگان'!$D110=3,'طیف فازی'!$C$4,IF('امتیاز دهی خبرگان'!$D110=4,'طیف فازی'!$C$5,'طیف فازی'!$C$6)))))</f>
        <v>0.25</v>
      </c>
      <c r="H110" s="22">
        <f>IF('امتیاز دهی خبرگان'!$D110=0,0,IF('امتیاز دهی خبرگان'!$D110=1,'طیف فازی'!$D$2,IF('امتیاز دهی خبرگان'!$D110=2,'طیف فازی'!$D$3,IF('امتیاز دهی خبرگان'!$D110=3,'طیف فازی'!$D$4,IF('امتیاز دهی خبرگان'!$D110=4,'طیف فازی'!$D$5,'طیف فازی'!$D$6)))))</f>
        <v>0.5</v>
      </c>
      <c r="I110" s="17">
        <f>IF('امتیاز دهی خبرگان'!$E110=0,0,IF('امتیاز دهی خبرگان'!$E110=1,'طیف فازی'!$B$2,IF('امتیاز دهی خبرگان'!$E110=2,'طیف فازی'!$B$3,IF('امتیاز دهی خبرگان'!$E110=3,'طیف فازی'!$B$4,IF('امتیاز دهی خبرگان'!$E110=4,'طیف فازی'!$B$5,'طیف فازی'!$B$6)))))</f>
        <v>0.5</v>
      </c>
      <c r="J110" s="18">
        <f>IF('امتیاز دهی خبرگان'!$E110=0,0,IF('امتیاز دهی خبرگان'!$E110=1,'طیف فازی'!$C$2,IF('امتیاز دهی خبرگان'!$E110=2,'طیف فازی'!$C$3,IF('امتیاز دهی خبرگان'!$E110=3,'طیف فازی'!$C$4,IF('امتیاز دهی خبرگان'!$E110=4,'طیف فازی'!$C$5,'طیف فازی'!$C$6)))))</f>
        <v>0.75</v>
      </c>
      <c r="K110" s="19">
        <f>IF('امتیاز دهی خبرگان'!$E110=0,0,IF('امتیاز دهی خبرگان'!$E110=1,'طیف فازی'!$D$2,IF('امتیاز دهی خبرگان'!$E110=2,'طیف فازی'!$D$3,IF('امتیاز دهی خبرگان'!$E110=3,'طیف فازی'!$D$4,IF('امتیاز دهی خبرگان'!$E110=4,'طیف فازی'!$D$5,'طیف فازی'!$D$6)))))</f>
        <v>1</v>
      </c>
      <c r="L110" s="17">
        <f>IF('امتیاز دهی خبرگان'!$F110=0,0,IF('امتیاز دهی خبرگان'!$F110=1,'طیف فازی'!$B$2,IF('امتیاز دهی خبرگان'!$F110=2,'طیف فازی'!$B$3,IF('امتیاز دهی خبرگان'!$F110=3,'طیف فازی'!$B$4,IF('امتیاز دهی خبرگان'!$F110=4,'طیف فازی'!$B$5,'طیف فازی'!$B$6)))))</f>
        <v>0.75</v>
      </c>
      <c r="M110" s="18">
        <f>IF('امتیاز دهی خبرگان'!$F110=0,0,IF('امتیاز دهی خبرگان'!$F110=1,'طیف فازی'!$C$2,IF('امتیاز دهی خبرگان'!$F110=2,'طیف فازی'!$C$3,IF('امتیاز دهی خبرگان'!$F110=3,'طیف فازی'!$C$4,IF('امتیاز دهی خبرگان'!$F110=4,'طیف فازی'!$C$5,'طیف فازی'!$C$6)))))</f>
        <v>1</v>
      </c>
      <c r="N110" s="19">
        <f>IF('امتیاز دهی خبرگان'!$F110=0,0,IF('امتیاز دهی خبرگان'!$F110=1,'طیف فازی'!$D$2,IF('امتیاز دهی خبرگان'!$F110=2,'طیف فازی'!$D$3,IF('امتیاز دهی خبرگان'!$F110=3,'طیف فازی'!$D$4,IF('امتیاز دهی خبرگان'!$F110=4,'طیف فازی'!$D$5,'طیف فازی'!$D$6)))))</f>
        <v>1</v>
      </c>
      <c r="O110" s="17">
        <f>IF('امتیاز دهی خبرگان'!$G110=0,0,IF('امتیاز دهی خبرگان'!$G110=1,'طیف فازی'!$B$2,IF('امتیاز دهی خبرگان'!$G110=2,'طیف فازی'!$B$3,IF('امتیاز دهی خبرگان'!$G110=3,'طیف فازی'!$B$4,IF('امتیاز دهی خبرگان'!$G110=4,'طیف فازی'!$B$5,'طیف فازی'!$B$6)))))</f>
        <v>0.75</v>
      </c>
      <c r="P110" s="18">
        <f>IF('امتیاز دهی خبرگان'!$G110=0,0,IF('امتیاز دهی خبرگان'!$G110=1,'طیف فازی'!$C$2,IF('امتیاز دهی خبرگان'!$G110=2,'طیف فازی'!$C$3,IF('امتیاز دهی خبرگان'!$G110=3,'طیف فازی'!$C$4,IF('امتیاز دهی خبرگان'!$G110=4,'طیف فازی'!$C$5,'طیف فازی'!$C$6)))))</f>
        <v>1</v>
      </c>
      <c r="Q110" s="19">
        <f>IF('امتیاز دهی خبرگان'!$G110=0,0,IF('امتیاز دهی خبرگان'!$G110=1,'طیف فازی'!$D$2,IF('امتیاز دهی خبرگان'!$G110=2,'طیف فازی'!$D$3,IF('امتیاز دهی خبرگان'!$G110=3,'طیف فازی'!$D$4,IF('امتیاز دهی خبرگان'!$G110=4,'طیف فازی'!$D$5,'طیف فازی'!$D$6)))))</f>
        <v>1</v>
      </c>
      <c r="R110" s="17">
        <f>IF('امتیاز دهی خبرگان'!$H110=0,0,IF('امتیاز دهی خبرگان'!$H110=1,'طیف فازی'!$B$2,IF('امتیاز دهی خبرگان'!$H110=2,'طیف فازی'!$B$3,IF('امتیاز دهی خبرگان'!$H110=3,'طیف فازی'!$B$4,IF('امتیاز دهی خبرگان'!$H110=4,'طیف فازی'!$B$5,'طیف فازی'!$B$6)))))</f>
        <v>0.5</v>
      </c>
      <c r="S110" s="18">
        <f>IF('امتیاز دهی خبرگان'!$H110=0,0,IF('امتیاز دهی خبرگان'!$H110=1,'طیف فازی'!$C$2,IF('امتیاز دهی خبرگان'!$H110=2,'طیف فازی'!$C$3,IF('امتیاز دهی خبرگان'!$H110=3,'طیف فازی'!$C$4,IF('امتیاز دهی خبرگان'!$H110=4,'طیف فازی'!$C$5,'طیف فازی'!$C$6)))))</f>
        <v>0.75</v>
      </c>
      <c r="T110" s="19">
        <f>IF('امتیاز دهی خبرگان'!$H110=0,0,IF('امتیاز دهی خبرگان'!$H110=1,'طیف فازی'!$D$2,IF('امتیاز دهی خبرگان'!$H110=2,'طیف فازی'!$D$3,IF('امتیاز دهی خبرگان'!$H110=3,'طیف فازی'!$D$4,IF('امتیاز دهی خبرگان'!$H110=4,'طیف فازی'!$D$5,'طیف فازی'!$D$6)))))</f>
        <v>1</v>
      </c>
      <c r="U110" s="17">
        <f>IF('امتیاز دهی خبرگان'!$I110=0,0,IF('امتیاز دهی خبرگان'!$I110=1,'طیف فازی'!$B$2,IF('امتیاز دهی خبرگان'!$I110=2,'طیف فازی'!$B$3,IF('امتیاز دهی خبرگان'!$I110=3,'طیف فازی'!$B$4,IF('امتیاز دهی خبرگان'!$I110=4,'طیف فازی'!$B$5,'طیف فازی'!$B$6)))))</f>
        <v>0.5</v>
      </c>
      <c r="V110" s="18">
        <f>IF('امتیاز دهی خبرگان'!$I110=0,0,IF('امتیاز دهی خبرگان'!$I110=1,'طیف فازی'!$C$2,IF('امتیاز دهی خبرگان'!$I110=2,'طیف فازی'!$C$3,IF('امتیاز دهی خبرگان'!$I110=3,'طیف فازی'!$C$4,IF('امتیاز دهی خبرگان'!$I110=4,'طیف فازی'!$C$5,'طیف فازی'!$C$6)))))</f>
        <v>0.75</v>
      </c>
      <c r="W110" s="19">
        <f>IF('امتیاز دهی خبرگان'!$I110=0,0,IF('امتیاز دهی خبرگان'!$I110=1,'طیف فازی'!$D$2,IF('امتیاز دهی خبرگان'!$I110=2,'طیف فازی'!$D$3,IF('امتیاز دهی خبرگان'!$I110=3,'طیف فازی'!$D$4,IF('امتیاز دهی خبرگان'!$I110=4,'طیف فازی'!$D$5,'طیف فازی'!$D$6)))))</f>
        <v>1</v>
      </c>
      <c r="X110" s="17">
        <f>IF('امتیاز دهی خبرگان'!$J110=0,0,IF('امتیاز دهی خبرگان'!$J110=1,'طیف فازی'!$B$2,IF('امتیاز دهی خبرگان'!$J110=2,'طیف فازی'!$B$3,IF('امتیاز دهی خبرگان'!$J110=3,'طیف فازی'!$B$4,IF('امتیاز دهی خبرگان'!$J110=4,'طیف فازی'!$B$5,'طیف فازی'!$B$6)))))</f>
        <v>0.75</v>
      </c>
      <c r="Y110" s="18">
        <f>IF('امتیاز دهی خبرگان'!$J110=0,0,IF('امتیاز دهی خبرگان'!$J110=1,'طیف فازی'!$C$2,IF('امتیاز دهی خبرگان'!$J110=2,'طیف فازی'!$C$3,IF('امتیاز دهی خبرگان'!$J110=3,'طیف فازی'!$C$4,IF('امتیاز دهی خبرگان'!$J110=4,'طیف فازی'!$C$5,'طیف فازی'!$C$6)))))</f>
        <v>1</v>
      </c>
      <c r="Z110" s="19">
        <f>IF('امتیاز دهی خبرگان'!$J110=0,0,IF('امتیاز دهی خبرگان'!$J110=1,'طیف فازی'!$D$2,IF('امتیاز دهی خبرگان'!$J110=2,'طیف فازی'!$D$3,IF('امتیاز دهی خبرگان'!$J110=3,'طیف فازی'!$D$4,IF('امتیاز دهی خبرگان'!$J110=4,'طیف فازی'!$D$5,'طیف فازی'!$D$6)))))</f>
        <v>1</v>
      </c>
      <c r="AA110" s="17">
        <f>IF('امتیاز دهی خبرگان'!$K110=0,0,IF('امتیاز دهی خبرگان'!$K110=1,'طیف فازی'!$B$2,IF('امتیاز دهی خبرگان'!$K110=2,'طیف فازی'!$B$3,IF('امتیاز دهی خبرگان'!$K110=3,'طیف فازی'!$B$4,IF('امتیاز دهی خبرگان'!$K110=4,'طیف فازی'!$B$5,'طیف فازی'!$B$6)))))</f>
        <v>0.75</v>
      </c>
      <c r="AB110" s="18">
        <f>IF('امتیاز دهی خبرگان'!$K110=0,0,IF('امتیاز دهی خبرگان'!$K110=1,'طیف فازی'!$C$2,IF('امتیاز دهی خبرگان'!$K110=2,'طیف فازی'!$C$3,IF('امتیاز دهی خبرگان'!$K110=3,'طیف فازی'!$C$4,IF('امتیاز دهی خبرگان'!$K110=4,'طیف فازی'!$C$5,'طیف فازی'!$C$6)))))</f>
        <v>1</v>
      </c>
      <c r="AC110" s="19">
        <f>IF('امتیاز دهی خبرگان'!$K110=0,0,IF('امتیاز دهی خبرگان'!$K110=1,'طیف فازی'!$D$2,IF('امتیاز دهی خبرگان'!$K110=2,'طیف فازی'!$D$3,IF('امتیاز دهی خبرگان'!$K110=3,'طیف فازی'!$D$4,IF('امتیاز دهی خبرگان'!$K110=4,'طیف فازی'!$D$5,'طیف فازی'!$D$6)))))</f>
        <v>1</v>
      </c>
      <c r="AD110" s="17">
        <f>IF('امتیاز دهی خبرگان'!$L110=0,0,IF('امتیاز دهی خبرگان'!$L110=1,'طیف فازی'!$B$2,IF('امتیاز دهی خبرگان'!$L110=2,'طیف فازی'!$B$3,IF('امتیاز دهی خبرگان'!$L110=3,'طیف فازی'!$B$4,IF('امتیاز دهی خبرگان'!$L110=4,'طیف فازی'!$B$5,'طیف فازی'!$B$6)))))</f>
        <v>0.5</v>
      </c>
      <c r="AE110" s="18">
        <f>IF('امتیاز دهی خبرگان'!$L110=0,0,IF('امتیاز دهی خبرگان'!$L110=1,'طیف فازی'!$C$2,IF('امتیاز دهی خبرگان'!$L110=2,'طیف فازی'!$C$3,IF('امتیاز دهی خبرگان'!$L110=3,'طیف فازی'!$C$4,IF('امتیاز دهی خبرگان'!$L110=4,'طیف فازی'!$C$5,'طیف فازی'!$C$6)))))</f>
        <v>0.75</v>
      </c>
      <c r="AF110" s="19">
        <f>IF('امتیاز دهی خبرگان'!$L110=0,0,IF('امتیاز دهی خبرگان'!$L110=1,'طیف فازی'!$D$2,IF('امتیاز دهی خبرگان'!$L110=2,'طیف فازی'!$D$3,IF('امتیاز دهی خبرگان'!$L110=3,'طیف فازی'!$D$4,IF('امتیاز دهی خبرگان'!$L110=4,'طیف فازی'!$D$5,'طیف فازی'!$D$6)))))</f>
        <v>1</v>
      </c>
      <c r="AG110" s="17">
        <f>IF('امتیاز دهی خبرگان'!$M110=0,0,IF('امتیاز دهی خبرگان'!$M110=1,'طیف فازی'!$B$2,IF('امتیاز دهی خبرگان'!$M110=2,'طیف فازی'!$B$3,IF('امتیاز دهی خبرگان'!$M110=3,'طیف فازی'!$B$4,IF('امتیاز دهی خبرگان'!$M110=4,'طیف فازی'!$B$5,'طیف فازی'!$B$6)))))</f>
        <v>0.5</v>
      </c>
      <c r="AH110" s="18">
        <f>IF('امتیاز دهی خبرگان'!$M110=0,0,IF('امتیاز دهی خبرگان'!$M110=1,'طیف فازی'!$C$2,IF('امتیاز دهی خبرگان'!$M110=2,'طیف فازی'!$C$3,IF('امتیاز دهی خبرگان'!$M110=3,'طیف فازی'!$C$4,IF('امتیاز دهی خبرگان'!$M110=4,'طیف فازی'!$C$5,'طیف فازی'!$C$6)))))</f>
        <v>0.75</v>
      </c>
      <c r="AI110" s="19">
        <f>IF('امتیاز دهی خبرگان'!$M110=0,0,IF('امتیاز دهی خبرگان'!$M110=1,'طیف فازی'!$D$2,IF('امتیاز دهی خبرگان'!$M110=2,'طیف فازی'!$D$3,IF('امتیاز دهی خبرگان'!$M110=3,'طیف فازی'!$D$4,IF('امتیاز دهی خبرگان'!$M110=4,'طیف فازی'!$D$5,'طیف فازی'!$D$6)))))</f>
        <v>1</v>
      </c>
      <c r="AJ110" s="17">
        <f>IF('امتیاز دهی خبرگان'!$N110=0,0,IF('امتیاز دهی خبرگان'!$N110=1,'طیف فازی'!$B$2,IF('امتیاز دهی خبرگان'!$N110=2,'طیف فازی'!$B$3,IF('امتیاز دهی خبرگان'!$N110=3,'طیف فازی'!$B$4,IF('امتیاز دهی خبرگان'!$N110=4,'طیف فازی'!$B$5,'طیف فازی'!$B$6)))))</f>
        <v>0.5</v>
      </c>
      <c r="AK110" s="18">
        <f>IF('امتیاز دهی خبرگان'!$N110=0,0,IF('امتیاز دهی خبرگان'!$N110=1,'طیف فازی'!$C$2,IF('امتیاز دهی خبرگان'!$N110=2,'طیف فازی'!$C$3,IF('امتیاز دهی خبرگان'!$N110=3,'طیف فازی'!$C$4,IF('امتیاز دهی خبرگان'!$N110=4,'طیف فازی'!$C$5,'طیف فازی'!$C$6)))))</f>
        <v>0.75</v>
      </c>
      <c r="AL110" s="19">
        <f>IF('امتیاز دهی خبرگان'!$N110=0,0,IF('امتیاز دهی خبرگان'!$N110=1,'طیف فازی'!$D$2,IF('امتیاز دهی خبرگان'!$N110=2,'طیف فازی'!$D$3,IF('امتیاز دهی خبرگان'!$N110=3,'طیف فازی'!$D$4,IF('امتیاز دهی خبرگان'!$N110=4,'طیف فازی'!$D$5,'طیف فازی'!$D$6)))))</f>
        <v>1</v>
      </c>
      <c r="AM110" s="23">
        <f t="shared" si="9"/>
        <v>6.75</v>
      </c>
      <c r="AN110" s="23">
        <f t="shared" si="10"/>
        <v>9.75</v>
      </c>
      <c r="AO110" s="24">
        <f t="shared" si="11"/>
        <v>11.5</v>
      </c>
      <c r="AP110" s="25">
        <f t="shared" si="12"/>
        <v>0.5625</v>
      </c>
      <c r="AQ110" s="23">
        <f t="shared" si="13"/>
        <v>0.8125</v>
      </c>
      <c r="AR110" s="24">
        <f t="shared" si="14"/>
        <v>0.95833333333333337</v>
      </c>
      <c r="AS110" s="24">
        <f t="shared" si="15"/>
        <v>0.77777777777777779</v>
      </c>
      <c r="AT110" s="24" t="str">
        <f t="shared" si="16"/>
        <v>Pass</v>
      </c>
    </row>
    <row r="111" spans="2:46" ht="23.25" customHeight="1" thickBot="1" x14ac:dyDescent="0.85">
      <c r="B111" s="2">
        <v>107</v>
      </c>
      <c r="C111" s="17">
        <f>IF('امتیاز دهی خبرگان'!$C111=0,0,IF('امتیاز دهی خبرگان'!$C111=1,'طیف فازی'!$B$2,IF('امتیاز دهی خبرگان'!$C111=2,'طیف فازی'!$B$3,IF('امتیاز دهی خبرگان'!$C111=3,'طیف فازی'!$B$4,IF('امتیاز دهی خبرگان'!$C111=4,'طیف فازی'!$B$5,'طیف فازی'!$B$6)))))</f>
        <v>0.5</v>
      </c>
      <c r="D111" s="18">
        <f>IF('امتیاز دهی خبرگان'!$C111=0,0,IF('امتیاز دهی خبرگان'!$C111=1,'طیف فازی'!$C$2,IF('امتیاز دهی خبرگان'!$C111=2,'طیف فازی'!$C$3,IF('امتیاز دهی خبرگان'!$C111=3,'طیف فازی'!$C$4,IF('امتیاز دهی خبرگان'!$C111=4,'طیف فازی'!$C$5,'طیف فازی'!$C$6)))))</f>
        <v>0.75</v>
      </c>
      <c r="E111" s="19">
        <f>IF('امتیاز دهی خبرگان'!$C111=0,0,IF('امتیاز دهی خبرگان'!$C111=1,'طیف فازی'!$D$2,IF('امتیاز دهی خبرگان'!$C111=2,'طیف فازی'!$D$3,IF('امتیاز دهی خبرگان'!$C111=3,'طیف فازی'!$D$4,IF('امتیاز دهی خبرگان'!$C111=4,'طیف فازی'!$D$5,'طیف فازی'!$D$6)))))</f>
        <v>1</v>
      </c>
      <c r="F111" s="20">
        <f>IF('امتیاز دهی خبرگان'!$D111=0,0,IF('امتیاز دهی خبرگان'!$D111=1,'طیف فازی'!$B$2,IF('امتیاز دهی خبرگان'!$D111=2,'طیف فازی'!$B$3,IF('امتیاز دهی خبرگان'!$D111=3,'طیف فازی'!$B$4,IF('امتیاز دهی خبرگان'!$D111=4,'طیف فازی'!$B$5,'طیف فازی'!$B$6)))))</f>
        <v>0.25</v>
      </c>
      <c r="G111" s="21">
        <f>IF('امتیاز دهی خبرگان'!$D111=0,0,IF('امتیاز دهی خبرگان'!$D111=1,'طیف فازی'!$D$2,IF('امتیاز دهی خبرگان'!$D111=2,'طیف فازی'!$C$3,IF('امتیاز دهی خبرگان'!$D111=3,'طیف فازی'!$C$4,IF('امتیاز دهی خبرگان'!$D111=4,'طیف فازی'!$C$5,'طیف فازی'!$C$6)))))</f>
        <v>0.5</v>
      </c>
      <c r="H111" s="22">
        <f>IF('امتیاز دهی خبرگان'!$D111=0,0,IF('امتیاز دهی خبرگان'!$D111=1,'طیف فازی'!$D$2,IF('امتیاز دهی خبرگان'!$D111=2,'طیف فازی'!$D$3,IF('امتیاز دهی خبرگان'!$D111=3,'طیف فازی'!$D$4,IF('امتیاز دهی خبرگان'!$D111=4,'طیف فازی'!$D$5,'طیف فازی'!$D$6)))))</f>
        <v>0.75</v>
      </c>
      <c r="I111" s="17">
        <f>IF('امتیاز دهی خبرگان'!$E111=0,0,IF('امتیاز دهی خبرگان'!$E111=1,'طیف فازی'!$B$2,IF('امتیاز دهی خبرگان'!$E111=2,'طیف فازی'!$B$3,IF('امتیاز دهی خبرگان'!$E111=3,'طیف فازی'!$B$4,IF('امتیاز دهی خبرگان'!$E111=4,'طیف فازی'!$B$5,'طیف فازی'!$B$6)))))</f>
        <v>0.5</v>
      </c>
      <c r="J111" s="18">
        <f>IF('امتیاز دهی خبرگان'!$E111=0,0,IF('امتیاز دهی خبرگان'!$E111=1,'طیف فازی'!$C$2,IF('امتیاز دهی خبرگان'!$E111=2,'طیف فازی'!$C$3,IF('امتیاز دهی خبرگان'!$E111=3,'طیف فازی'!$C$4,IF('امتیاز دهی خبرگان'!$E111=4,'طیف فازی'!$C$5,'طیف فازی'!$C$6)))))</f>
        <v>0.75</v>
      </c>
      <c r="K111" s="19">
        <f>IF('امتیاز دهی خبرگان'!$E111=0,0,IF('امتیاز دهی خبرگان'!$E111=1,'طیف فازی'!$D$2,IF('امتیاز دهی خبرگان'!$E111=2,'طیف فازی'!$D$3,IF('امتیاز دهی خبرگان'!$E111=3,'طیف فازی'!$D$4,IF('امتیاز دهی خبرگان'!$E111=4,'طیف فازی'!$D$5,'طیف فازی'!$D$6)))))</f>
        <v>1</v>
      </c>
      <c r="L111" s="17">
        <f>IF('امتیاز دهی خبرگان'!$F111=0,0,IF('امتیاز دهی خبرگان'!$F111=1,'طیف فازی'!$B$2,IF('امتیاز دهی خبرگان'!$F111=2,'طیف فازی'!$B$3,IF('امتیاز دهی خبرگان'!$F111=3,'طیف فازی'!$B$4,IF('امتیاز دهی خبرگان'!$F111=4,'طیف فازی'!$B$5,'طیف فازی'!$B$6)))))</f>
        <v>0.25</v>
      </c>
      <c r="M111" s="18">
        <f>IF('امتیاز دهی خبرگان'!$F111=0,0,IF('امتیاز دهی خبرگان'!$F111=1,'طیف فازی'!$C$2,IF('امتیاز دهی خبرگان'!$F111=2,'طیف فازی'!$C$3,IF('امتیاز دهی خبرگان'!$F111=3,'طیف فازی'!$C$4,IF('امتیاز دهی خبرگان'!$F111=4,'طیف فازی'!$C$5,'طیف فازی'!$C$6)))))</f>
        <v>0.5</v>
      </c>
      <c r="N111" s="19">
        <f>IF('امتیاز دهی خبرگان'!$F111=0,0,IF('امتیاز دهی خبرگان'!$F111=1,'طیف فازی'!$D$2,IF('امتیاز دهی خبرگان'!$F111=2,'طیف فازی'!$D$3,IF('امتیاز دهی خبرگان'!$F111=3,'طیف فازی'!$D$4,IF('امتیاز دهی خبرگان'!$F111=4,'طیف فازی'!$D$5,'طیف فازی'!$D$6)))))</f>
        <v>0.75</v>
      </c>
      <c r="O111" s="17">
        <f>IF('امتیاز دهی خبرگان'!$G111=0,0,IF('امتیاز دهی خبرگان'!$G111=1,'طیف فازی'!$B$2,IF('امتیاز دهی خبرگان'!$G111=2,'طیف فازی'!$B$3,IF('امتیاز دهی خبرگان'!$G111=3,'طیف فازی'!$B$4,IF('امتیاز دهی خبرگان'!$G111=4,'طیف فازی'!$B$5,'طیف فازی'!$B$6)))))</f>
        <v>0.75</v>
      </c>
      <c r="P111" s="18">
        <f>IF('امتیاز دهی خبرگان'!$G111=0,0,IF('امتیاز دهی خبرگان'!$G111=1,'طیف فازی'!$C$2,IF('امتیاز دهی خبرگان'!$G111=2,'طیف فازی'!$C$3,IF('امتیاز دهی خبرگان'!$G111=3,'طیف فازی'!$C$4,IF('امتیاز دهی خبرگان'!$G111=4,'طیف فازی'!$C$5,'طیف فازی'!$C$6)))))</f>
        <v>1</v>
      </c>
      <c r="Q111" s="19">
        <f>IF('امتیاز دهی خبرگان'!$G111=0,0,IF('امتیاز دهی خبرگان'!$G111=1,'طیف فازی'!$D$2,IF('امتیاز دهی خبرگان'!$G111=2,'طیف فازی'!$D$3,IF('امتیاز دهی خبرگان'!$G111=3,'طیف فازی'!$D$4,IF('امتیاز دهی خبرگان'!$G111=4,'طیف فازی'!$D$5,'طیف فازی'!$D$6)))))</f>
        <v>1</v>
      </c>
      <c r="R111" s="17">
        <f>IF('امتیاز دهی خبرگان'!$H111=0,0,IF('امتیاز دهی خبرگان'!$H111=1,'طیف فازی'!$B$2,IF('امتیاز دهی خبرگان'!$H111=2,'طیف فازی'!$B$3,IF('امتیاز دهی خبرگان'!$H111=3,'طیف فازی'!$B$4,IF('امتیاز دهی خبرگان'!$H111=4,'طیف فازی'!$B$5,'طیف فازی'!$B$6)))))</f>
        <v>0.75</v>
      </c>
      <c r="S111" s="18">
        <f>IF('امتیاز دهی خبرگان'!$H111=0,0,IF('امتیاز دهی خبرگان'!$H111=1,'طیف فازی'!$C$2,IF('امتیاز دهی خبرگان'!$H111=2,'طیف فازی'!$C$3,IF('امتیاز دهی خبرگان'!$H111=3,'طیف فازی'!$C$4,IF('امتیاز دهی خبرگان'!$H111=4,'طیف فازی'!$C$5,'طیف فازی'!$C$6)))))</f>
        <v>1</v>
      </c>
      <c r="T111" s="19">
        <f>IF('امتیاز دهی خبرگان'!$H111=0,0,IF('امتیاز دهی خبرگان'!$H111=1,'طیف فازی'!$D$2,IF('امتیاز دهی خبرگان'!$H111=2,'طیف فازی'!$D$3,IF('امتیاز دهی خبرگان'!$H111=3,'طیف فازی'!$D$4,IF('امتیاز دهی خبرگان'!$H111=4,'طیف فازی'!$D$5,'طیف فازی'!$D$6)))))</f>
        <v>1</v>
      </c>
      <c r="U111" s="17">
        <f>IF('امتیاز دهی خبرگان'!$I111=0,0,IF('امتیاز دهی خبرگان'!$I111=1,'طیف فازی'!$B$2,IF('امتیاز دهی خبرگان'!$I111=2,'طیف فازی'!$B$3,IF('امتیاز دهی خبرگان'!$I111=3,'طیف فازی'!$B$4,IF('امتیاز دهی خبرگان'!$I111=4,'طیف فازی'!$B$5,'طیف فازی'!$B$6)))))</f>
        <v>0.5</v>
      </c>
      <c r="V111" s="18">
        <f>IF('امتیاز دهی خبرگان'!$I111=0,0,IF('امتیاز دهی خبرگان'!$I111=1,'طیف فازی'!$C$2,IF('امتیاز دهی خبرگان'!$I111=2,'طیف فازی'!$C$3,IF('امتیاز دهی خبرگان'!$I111=3,'طیف فازی'!$C$4,IF('امتیاز دهی خبرگان'!$I111=4,'طیف فازی'!$C$5,'طیف فازی'!$C$6)))))</f>
        <v>0.75</v>
      </c>
      <c r="W111" s="19">
        <f>IF('امتیاز دهی خبرگان'!$I111=0,0,IF('امتیاز دهی خبرگان'!$I111=1,'طیف فازی'!$D$2,IF('امتیاز دهی خبرگان'!$I111=2,'طیف فازی'!$D$3,IF('امتیاز دهی خبرگان'!$I111=3,'طیف فازی'!$D$4,IF('امتیاز دهی خبرگان'!$I111=4,'طیف فازی'!$D$5,'طیف فازی'!$D$6)))))</f>
        <v>1</v>
      </c>
      <c r="X111" s="17">
        <f>IF('امتیاز دهی خبرگان'!$J111=0,0,IF('امتیاز دهی خبرگان'!$J111=1,'طیف فازی'!$B$2,IF('امتیاز دهی خبرگان'!$J111=2,'طیف فازی'!$B$3,IF('امتیاز دهی خبرگان'!$J111=3,'طیف فازی'!$B$4,IF('امتیاز دهی خبرگان'!$J111=4,'طیف فازی'!$B$5,'طیف فازی'!$B$6)))))</f>
        <v>0.75</v>
      </c>
      <c r="Y111" s="18">
        <f>IF('امتیاز دهی خبرگان'!$J111=0,0,IF('امتیاز دهی خبرگان'!$J111=1,'طیف فازی'!$C$2,IF('امتیاز دهی خبرگان'!$J111=2,'طیف فازی'!$C$3,IF('امتیاز دهی خبرگان'!$J111=3,'طیف فازی'!$C$4,IF('امتیاز دهی خبرگان'!$J111=4,'طیف فازی'!$C$5,'طیف فازی'!$C$6)))))</f>
        <v>1</v>
      </c>
      <c r="Z111" s="19">
        <f>IF('امتیاز دهی خبرگان'!$J111=0,0,IF('امتیاز دهی خبرگان'!$J111=1,'طیف فازی'!$D$2,IF('امتیاز دهی خبرگان'!$J111=2,'طیف فازی'!$D$3,IF('امتیاز دهی خبرگان'!$J111=3,'طیف فازی'!$D$4,IF('امتیاز دهی خبرگان'!$J111=4,'طیف فازی'!$D$5,'طیف فازی'!$D$6)))))</f>
        <v>1</v>
      </c>
      <c r="AA111" s="17">
        <f>IF('امتیاز دهی خبرگان'!$K111=0,0,IF('امتیاز دهی خبرگان'!$K111=1,'طیف فازی'!$B$2,IF('امتیاز دهی خبرگان'!$K111=2,'طیف فازی'!$B$3,IF('امتیاز دهی خبرگان'!$K111=3,'طیف فازی'!$B$4,IF('امتیاز دهی خبرگان'!$K111=4,'طیف فازی'!$B$5,'طیف فازی'!$B$6)))))</f>
        <v>0.75</v>
      </c>
      <c r="AB111" s="18">
        <f>IF('امتیاز دهی خبرگان'!$K111=0,0,IF('امتیاز دهی خبرگان'!$K111=1,'طیف فازی'!$C$2,IF('امتیاز دهی خبرگان'!$K111=2,'طیف فازی'!$C$3,IF('امتیاز دهی خبرگان'!$K111=3,'طیف فازی'!$C$4,IF('امتیاز دهی خبرگان'!$K111=4,'طیف فازی'!$C$5,'طیف فازی'!$C$6)))))</f>
        <v>1</v>
      </c>
      <c r="AC111" s="19">
        <f>IF('امتیاز دهی خبرگان'!$K111=0,0,IF('امتیاز دهی خبرگان'!$K111=1,'طیف فازی'!$D$2,IF('امتیاز دهی خبرگان'!$K111=2,'طیف فازی'!$D$3,IF('امتیاز دهی خبرگان'!$K111=3,'طیف فازی'!$D$4,IF('امتیاز دهی خبرگان'!$K111=4,'طیف فازی'!$D$5,'طیف فازی'!$D$6)))))</f>
        <v>1</v>
      </c>
      <c r="AD111" s="17">
        <f>IF('امتیاز دهی خبرگان'!$L111=0,0,IF('امتیاز دهی خبرگان'!$L111=1,'طیف فازی'!$B$2,IF('امتیاز دهی خبرگان'!$L111=2,'طیف فازی'!$B$3,IF('امتیاز دهی خبرگان'!$L111=3,'طیف فازی'!$B$4,IF('امتیاز دهی خبرگان'!$L111=4,'طیف فازی'!$B$5,'طیف فازی'!$B$6)))))</f>
        <v>0.75</v>
      </c>
      <c r="AE111" s="18">
        <f>IF('امتیاز دهی خبرگان'!$L111=0,0,IF('امتیاز دهی خبرگان'!$L111=1,'طیف فازی'!$C$2,IF('امتیاز دهی خبرگان'!$L111=2,'طیف فازی'!$C$3,IF('امتیاز دهی خبرگان'!$L111=3,'طیف فازی'!$C$4,IF('امتیاز دهی خبرگان'!$L111=4,'طیف فازی'!$C$5,'طیف فازی'!$C$6)))))</f>
        <v>1</v>
      </c>
      <c r="AF111" s="19">
        <f>IF('امتیاز دهی خبرگان'!$L111=0,0,IF('امتیاز دهی خبرگان'!$L111=1,'طیف فازی'!$D$2,IF('امتیاز دهی خبرگان'!$L111=2,'طیف فازی'!$D$3,IF('امتیاز دهی خبرگان'!$L111=3,'طیف فازی'!$D$4,IF('امتیاز دهی خبرگان'!$L111=4,'طیف فازی'!$D$5,'طیف فازی'!$D$6)))))</f>
        <v>1</v>
      </c>
      <c r="AG111" s="17">
        <f>IF('امتیاز دهی خبرگان'!$M111=0,0,IF('امتیاز دهی خبرگان'!$M111=1,'طیف فازی'!$B$2,IF('امتیاز دهی خبرگان'!$M111=2,'طیف فازی'!$B$3,IF('امتیاز دهی خبرگان'!$M111=3,'طیف فازی'!$B$4,IF('امتیاز دهی خبرگان'!$M111=4,'طیف فازی'!$B$5,'طیف فازی'!$B$6)))))</f>
        <v>0.5</v>
      </c>
      <c r="AH111" s="18">
        <f>IF('امتیاز دهی خبرگان'!$M111=0,0,IF('امتیاز دهی خبرگان'!$M111=1,'طیف فازی'!$C$2,IF('امتیاز دهی خبرگان'!$M111=2,'طیف فازی'!$C$3,IF('امتیاز دهی خبرگان'!$M111=3,'طیف فازی'!$C$4,IF('امتیاز دهی خبرگان'!$M111=4,'طیف فازی'!$C$5,'طیف فازی'!$C$6)))))</f>
        <v>0.75</v>
      </c>
      <c r="AI111" s="19">
        <f>IF('امتیاز دهی خبرگان'!$M111=0,0,IF('امتیاز دهی خبرگان'!$M111=1,'طیف فازی'!$D$2,IF('امتیاز دهی خبرگان'!$M111=2,'طیف فازی'!$D$3,IF('امتیاز دهی خبرگان'!$M111=3,'طیف فازی'!$D$4,IF('امتیاز دهی خبرگان'!$M111=4,'طیف فازی'!$D$5,'طیف فازی'!$D$6)))))</f>
        <v>1</v>
      </c>
      <c r="AJ111" s="17">
        <f>IF('امتیاز دهی خبرگان'!$N111=0,0,IF('امتیاز دهی خبرگان'!$N111=1,'طیف فازی'!$B$2,IF('امتیاز دهی خبرگان'!$N111=2,'طیف فازی'!$B$3,IF('امتیاز دهی خبرگان'!$N111=3,'طیف فازی'!$B$4,IF('امتیاز دهی خبرگان'!$N111=4,'طیف فازی'!$B$5,'طیف فازی'!$B$6)))))</f>
        <v>0.5</v>
      </c>
      <c r="AK111" s="18">
        <f>IF('امتیاز دهی خبرگان'!$N111=0,0,IF('امتیاز دهی خبرگان'!$N111=1,'طیف فازی'!$C$2,IF('امتیاز دهی خبرگان'!$N111=2,'طیف فازی'!$C$3,IF('امتیاز دهی خبرگان'!$N111=3,'طیف فازی'!$C$4,IF('امتیاز دهی خبرگان'!$N111=4,'طیف فازی'!$C$5,'طیف فازی'!$C$6)))))</f>
        <v>0.75</v>
      </c>
      <c r="AL111" s="19">
        <f>IF('امتیاز دهی خبرگان'!$N111=0,0,IF('امتیاز دهی خبرگان'!$N111=1,'طیف فازی'!$D$2,IF('امتیاز دهی خبرگان'!$N111=2,'طیف فازی'!$D$3,IF('امتیاز دهی خبرگان'!$N111=3,'طیف فازی'!$D$4,IF('امتیاز دهی خبرگان'!$N111=4,'طیف فازی'!$D$5,'طیف فازی'!$D$6)))))</f>
        <v>1</v>
      </c>
      <c r="AM111" s="23">
        <f t="shared" si="9"/>
        <v>6.75</v>
      </c>
      <c r="AN111" s="23">
        <f t="shared" si="10"/>
        <v>9.75</v>
      </c>
      <c r="AO111" s="24">
        <f t="shared" si="11"/>
        <v>11.5</v>
      </c>
      <c r="AP111" s="25">
        <f t="shared" si="12"/>
        <v>0.5625</v>
      </c>
      <c r="AQ111" s="23">
        <f t="shared" si="13"/>
        <v>0.8125</v>
      </c>
      <c r="AR111" s="24">
        <f t="shared" si="14"/>
        <v>0.95833333333333337</v>
      </c>
      <c r="AS111" s="24">
        <f t="shared" si="15"/>
        <v>0.77777777777777779</v>
      </c>
      <c r="AT111" s="24" t="str">
        <f t="shared" si="16"/>
        <v>Pass</v>
      </c>
    </row>
    <row r="112" spans="2:46" ht="23.25" customHeight="1" thickBot="1" x14ac:dyDescent="0.85">
      <c r="B112" s="2">
        <v>108</v>
      </c>
      <c r="C112" s="17">
        <f>IF('امتیاز دهی خبرگان'!$C112=0,0,IF('امتیاز دهی خبرگان'!$C112=1,'طیف فازی'!$B$2,IF('امتیاز دهی خبرگان'!$C112=2,'طیف فازی'!$B$3,IF('امتیاز دهی خبرگان'!$C112=3,'طیف فازی'!$B$4,IF('امتیاز دهی خبرگان'!$C112=4,'طیف فازی'!$B$5,'طیف فازی'!$B$6)))))</f>
        <v>0.75</v>
      </c>
      <c r="D112" s="18">
        <f>IF('امتیاز دهی خبرگان'!$C112=0,0,IF('امتیاز دهی خبرگان'!$C112=1,'طیف فازی'!$C$2,IF('امتیاز دهی خبرگان'!$C112=2,'طیف فازی'!$C$3,IF('امتیاز دهی خبرگان'!$C112=3,'طیف فازی'!$C$4,IF('امتیاز دهی خبرگان'!$C112=4,'طیف فازی'!$C$5,'طیف فازی'!$C$6)))))</f>
        <v>1</v>
      </c>
      <c r="E112" s="19">
        <f>IF('امتیاز دهی خبرگان'!$C112=0,0,IF('امتیاز دهی خبرگان'!$C112=1,'طیف فازی'!$D$2,IF('امتیاز دهی خبرگان'!$C112=2,'طیف فازی'!$D$3,IF('امتیاز دهی خبرگان'!$C112=3,'طیف فازی'!$D$4,IF('امتیاز دهی خبرگان'!$C112=4,'طیف فازی'!$D$5,'طیف فازی'!$D$6)))))</f>
        <v>1</v>
      </c>
      <c r="F112" s="20">
        <f>IF('امتیاز دهی خبرگان'!$D112=0,0,IF('امتیاز دهی خبرگان'!$D112=1,'طیف فازی'!$B$2,IF('امتیاز دهی خبرگان'!$D112=2,'طیف فازی'!$B$3,IF('امتیاز دهی خبرگان'!$D112=3,'طیف فازی'!$B$4,IF('امتیاز دهی خبرگان'!$D112=4,'طیف فازی'!$B$5,'طیف فازی'!$B$6)))))</f>
        <v>0.25</v>
      </c>
      <c r="G112" s="21">
        <f>IF('امتیاز دهی خبرگان'!$D112=0,0,IF('امتیاز دهی خبرگان'!$D112=1,'طیف فازی'!$D$2,IF('امتیاز دهی خبرگان'!$D112=2,'طیف فازی'!$C$3,IF('امتیاز دهی خبرگان'!$D112=3,'طیف فازی'!$C$4,IF('امتیاز دهی خبرگان'!$D112=4,'طیف فازی'!$C$5,'طیف فازی'!$C$6)))))</f>
        <v>0.5</v>
      </c>
      <c r="H112" s="22">
        <f>IF('امتیاز دهی خبرگان'!$D112=0,0,IF('امتیاز دهی خبرگان'!$D112=1,'طیف فازی'!$D$2,IF('امتیاز دهی خبرگان'!$D112=2,'طیف فازی'!$D$3,IF('امتیاز دهی خبرگان'!$D112=3,'طیف فازی'!$D$4,IF('امتیاز دهی خبرگان'!$D112=4,'طیف فازی'!$D$5,'طیف فازی'!$D$6)))))</f>
        <v>0.75</v>
      </c>
      <c r="I112" s="17">
        <f>IF('امتیاز دهی خبرگان'!$E112=0,0,IF('امتیاز دهی خبرگان'!$E112=1,'طیف فازی'!$B$2,IF('امتیاز دهی خبرگان'!$E112=2,'طیف فازی'!$B$3,IF('امتیاز دهی خبرگان'!$E112=3,'طیف فازی'!$B$4,IF('امتیاز دهی خبرگان'!$E112=4,'طیف فازی'!$B$5,'طیف فازی'!$B$6)))))</f>
        <v>0.25</v>
      </c>
      <c r="J112" s="18">
        <f>IF('امتیاز دهی خبرگان'!$E112=0,0,IF('امتیاز دهی خبرگان'!$E112=1,'طیف فازی'!$C$2,IF('امتیاز دهی خبرگان'!$E112=2,'طیف فازی'!$C$3,IF('امتیاز دهی خبرگان'!$E112=3,'طیف فازی'!$C$4,IF('امتیاز دهی خبرگان'!$E112=4,'طیف فازی'!$C$5,'طیف فازی'!$C$6)))))</f>
        <v>0.5</v>
      </c>
      <c r="K112" s="19">
        <f>IF('امتیاز دهی خبرگان'!$E112=0,0,IF('امتیاز دهی خبرگان'!$E112=1,'طیف فازی'!$D$2,IF('امتیاز دهی خبرگان'!$E112=2,'طیف فازی'!$D$3,IF('امتیاز دهی خبرگان'!$E112=3,'طیف فازی'!$D$4,IF('امتیاز دهی خبرگان'!$E112=4,'طیف فازی'!$D$5,'طیف فازی'!$D$6)))))</f>
        <v>0.75</v>
      </c>
      <c r="L112" s="17">
        <f>IF('امتیاز دهی خبرگان'!$F112=0,0,IF('امتیاز دهی خبرگان'!$F112=1,'طیف فازی'!$B$2,IF('امتیاز دهی خبرگان'!$F112=2,'طیف فازی'!$B$3,IF('امتیاز دهی خبرگان'!$F112=3,'طیف فازی'!$B$4,IF('امتیاز دهی خبرگان'!$F112=4,'طیف فازی'!$B$5,'طیف فازی'!$B$6)))))</f>
        <v>0.75</v>
      </c>
      <c r="M112" s="18">
        <f>IF('امتیاز دهی خبرگان'!$F112=0,0,IF('امتیاز دهی خبرگان'!$F112=1,'طیف فازی'!$C$2,IF('امتیاز دهی خبرگان'!$F112=2,'طیف فازی'!$C$3,IF('امتیاز دهی خبرگان'!$F112=3,'طیف فازی'!$C$4,IF('امتیاز دهی خبرگان'!$F112=4,'طیف فازی'!$C$5,'طیف فازی'!$C$6)))))</f>
        <v>1</v>
      </c>
      <c r="N112" s="19">
        <f>IF('امتیاز دهی خبرگان'!$F112=0,0,IF('امتیاز دهی خبرگان'!$F112=1,'طیف فازی'!$D$2,IF('امتیاز دهی خبرگان'!$F112=2,'طیف فازی'!$D$3,IF('امتیاز دهی خبرگان'!$F112=3,'طیف فازی'!$D$4,IF('امتیاز دهی خبرگان'!$F112=4,'طیف فازی'!$D$5,'طیف فازی'!$D$6)))))</f>
        <v>1</v>
      </c>
      <c r="O112" s="17">
        <f>IF('امتیاز دهی خبرگان'!$G112=0,0,IF('امتیاز دهی خبرگان'!$G112=1,'طیف فازی'!$B$2,IF('امتیاز دهی خبرگان'!$G112=2,'طیف فازی'!$B$3,IF('امتیاز دهی خبرگان'!$G112=3,'طیف فازی'!$B$4,IF('امتیاز دهی خبرگان'!$G112=4,'طیف فازی'!$B$5,'طیف فازی'!$B$6)))))</f>
        <v>0.75</v>
      </c>
      <c r="P112" s="18">
        <f>IF('امتیاز دهی خبرگان'!$G112=0,0,IF('امتیاز دهی خبرگان'!$G112=1,'طیف فازی'!$C$2,IF('امتیاز دهی خبرگان'!$G112=2,'طیف فازی'!$C$3,IF('امتیاز دهی خبرگان'!$G112=3,'طیف فازی'!$C$4,IF('امتیاز دهی خبرگان'!$G112=4,'طیف فازی'!$C$5,'طیف فازی'!$C$6)))))</f>
        <v>1</v>
      </c>
      <c r="Q112" s="19">
        <f>IF('امتیاز دهی خبرگان'!$G112=0,0,IF('امتیاز دهی خبرگان'!$G112=1,'طیف فازی'!$D$2,IF('امتیاز دهی خبرگان'!$G112=2,'طیف فازی'!$D$3,IF('امتیاز دهی خبرگان'!$G112=3,'طیف فازی'!$D$4,IF('امتیاز دهی خبرگان'!$G112=4,'طیف فازی'!$D$5,'طیف فازی'!$D$6)))))</f>
        <v>1</v>
      </c>
      <c r="R112" s="17">
        <f>IF('امتیاز دهی خبرگان'!$H112=0,0,IF('امتیاز دهی خبرگان'!$H112=1,'طیف فازی'!$B$2,IF('امتیاز دهی خبرگان'!$H112=2,'طیف فازی'!$B$3,IF('امتیاز دهی خبرگان'!$H112=3,'طیف فازی'!$B$4,IF('امتیاز دهی خبرگان'!$H112=4,'طیف فازی'!$B$5,'طیف فازی'!$B$6)))))</f>
        <v>0.5</v>
      </c>
      <c r="S112" s="18">
        <f>IF('امتیاز دهی خبرگان'!$H112=0,0,IF('امتیاز دهی خبرگان'!$H112=1,'طیف فازی'!$C$2,IF('امتیاز دهی خبرگان'!$H112=2,'طیف فازی'!$C$3,IF('امتیاز دهی خبرگان'!$H112=3,'طیف فازی'!$C$4,IF('امتیاز دهی خبرگان'!$H112=4,'طیف فازی'!$C$5,'طیف فازی'!$C$6)))))</f>
        <v>0.75</v>
      </c>
      <c r="T112" s="19">
        <f>IF('امتیاز دهی خبرگان'!$H112=0,0,IF('امتیاز دهی خبرگان'!$H112=1,'طیف فازی'!$D$2,IF('امتیاز دهی خبرگان'!$H112=2,'طیف فازی'!$D$3,IF('امتیاز دهی خبرگان'!$H112=3,'طیف فازی'!$D$4,IF('امتیاز دهی خبرگان'!$H112=4,'طیف فازی'!$D$5,'طیف فازی'!$D$6)))))</f>
        <v>1</v>
      </c>
      <c r="U112" s="17">
        <f>IF('امتیاز دهی خبرگان'!$I112=0,0,IF('امتیاز دهی خبرگان'!$I112=1,'طیف فازی'!$B$2,IF('امتیاز دهی خبرگان'!$I112=2,'طیف فازی'!$B$3,IF('امتیاز دهی خبرگان'!$I112=3,'طیف فازی'!$B$4,IF('امتیاز دهی خبرگان'!$I112=4,'طیف فازی'!$B$5,'طیف فازی'!$B$6)))))</f>
        <v>0.5</v>
      </c>
      <c r="V112" s="18">
        <f>IF('امتیاز دهی خبرگان'!$I112=0,0,IF('امتیاز دهی خبرگان'!$I112=1,'طیف فازی'!$C$2,IF('امتیاز دهی خبرگان'!$I112=2,'طیف فازی'!$C$3,IF('امتیاز دهی خبرگان'!$I112=3,'طیف فازی'!$C$4,IF('امتیاز دهی خبرگان'!$I112=4,'طیف فازی'!$C$5,'طیف فازی'!$C$6)))))</f>
        <v>0.75</v>
      </c>
      <c r="W112" s="19">
        <f>IF('امتیاز دهی خبرگان'!$I112=0,0,IF('امتیاز دهی خبرگان'!$I112=1,'طیف فازی'!$D$2,IF('امتیاز دهی خبرگان'!$I112=2,'طیف فازی'!$D$3,IF('امتیاز دهی خبرگان'!$I112=3,'طیف فازی'!$D$4,IF('امتیاز دهی خبرگان'!$I112=4,'طیف فازی'!$D$5,'طیف فازی'!$D$6)))))</f>
        <v>1</v>
      </c>
      <c r="X112" s="17">
        <f>IF('امتیاز دهی خبرگان'!$J112=0,0,IF('امتیاز دهی خبرگان'!$J112=1,'طیف فازی'!$B$2,IF('امتیاز دهی خبرگان'!$J112=2,'طیف فازی'!$B$3,IF('امتیاز دهی خبرگان'!$J112=3,'طیف فازی'!$B$4,IF('امتیاز دهی خبرگان'!$J112=4,'طیف فازی'!$B$5,'طیف فازی'!$B$6)))))</f>
        <v>0.75</v>
      </c>
      <c r="Y112" s="18">
        <f>IF('امتیاز دهی خبرگان'!$J112=0,0,IF('امتیاز دهی خبرگان'!$J112=1,'طیف فازی'!$C$2,IF('امتیاز دهی خبرگان'!$J112=2,'طیف فازی'!$C$3,IF('امتیاز دهی خبرگان'!$J112=3,'طیف فازی'!$C$4,IF('امتیاز دهی خبرگان'!$J112=4,'طیف فازی'!$C$5,'طیف فازی'!$C$6)))))</f>
        <v>1</v>
      </c>
      <c r="Z112" s="19">
        <f>IF('امتیاز دهی خبرگان'!$J112=0,0,IF('امتیاز دهی خبرگان'!$J112=1,'طیف فازی'!$D$2,IF('امتیاز دهی خبرگان'!$J112=2,'طیف فازی'!$D$3,IF('امتیاز دهی خبرگان'!$J112=3,'طیف فازی'!$D$4,IF('امتیاز دهی خبرگان'!$J112=4,'طیف فازی'!$D$5,'طیف فازی'!$D$6)))))</f>
        <v>1</v>
      </c>
      <c r="AA112" s="17">
        <f>IF('امتیاز دهی خبرگان'!$K112=0,0,IF('امتیاز دهی خبرگان'!$K112=1,'طیف فازی'!$B$2,IF('امتیاز دهی خبرگان'!$K112=2,'طیف فازی'!$B$3,IF('امتیاز دهی خبرگان'!$K112=3,'طیف فازی'!$B$4,IF('امتیاز دهی خبرگان'!$K112=4,'طیف فازی'!$B$5,'طیف فازی'!$B$6)))))</f>
        <v>0.5</v>
      </c>
      <c r="AB112" s="18">
        <f>IF('امتیاز دهی خبرگان'!$K112=0,0,IF('امتیاز دهی خبرگان'!$K112=1,'طیف فازی'!$C$2,IF('امتیاز دهی خبرگان'!$K112=2,'طیف فازی'!$C$3,IF('امتیاز دهی خبرگان'!$K112=3,'طیف فازی'!$C$4,IF('امتیاز دهی خبرگان'!$K112=4,'طیف فازی'!$C$5,'طیف فازی'!$C$6)))))</f>
        <v>0.75</v>
      </c>
      <c r="AC112" s="19">
        <f>IF('امتیاز دهی خبرگان'!$K112=0,0,IF('امتیاز دهی خبرگان'!$K112=1,'طیف فازی'!$D$2,IF('امتیاز دهی خبرگان'!$K112=2,'طیف فازی'!$D$3,IF('امتیاز دهی خبرگان'!$K112=3,'طیف فازی'!$D$4,IF('امتیاز دهی خبرگان'!$K112=4,'طیف فازی'!$D$5,'طیف فازی'!$D$6)))))</f>
        <v>1</v>
      </c>
      <c r="AD112" s="17">
        <f>IF('امتیاز دهی خبرگان'!$L112=0,0,IF('امتیاز دهی خبرگان'!$L112=1,'طیف فازی'!$B$2,IF('امتیاز دهی خبرگان'!$L112=2,'طیف فازی'!$B$3,IF('امتیاز دهی خبرگان'!$L112=3,'طیف فازی'!$B$4,IF('امتیاز دهی خبرگان'!$L112=4,'طیف فازی'!$B$5,'طیف فازی'!$B$6)))))</f>
        <v>0.75</v>
      </c>
      <c r="AE112" s="18">
        <f>IF('امتیاز دهی خبرگان'!$L112=0,0,IF('امتیاز دهی خبرگان'!$L112=1,'طیف فازی'!$C$2,IF('امتیاز دهی خبرگان'!$L112=2,'طیف فازی'!$C$3,IF('امتیاز دهی خبرگان'!$L112=3,'طیف فازی'!$C$4,IF('امتیاز دهی خبرگان'!$L112=4,'طیف فازی'!$C$5,'طیف فازی'!$C$6)))))</f>
        <v>1</v>
      </c>
      <c r="AF112" s="19">
        <f>IF('امتیاز دهی خبرگان'!$L112=0,0,IF('امتیاز دهی خبرگان'!$L112=1,'طیف فازی'!$D$2,IF('امتیاز دهی خبرگان'!$L112=2,'طیف فازی'!$D$3,IF('امتیاز دهی خبرگان'!$L112=3,'طیف فازی'!$D$4,IF('امتیاز دهی خبرگان'!$L112=4,'طیف فازی'!$D$5,'طیف فازی'!$D$6)))))</f>
        <v>1</v>
      </c>
      <c r="AG112" s="17">
        <f>IF('امتیاز دهی خبرگان'!$M112=0,0,IF('امتیاز دهی خبرگان'!$M112=1,'طیف فازی'!$B$2,IF('امتیاز دهی خبرگان'!$M112=2,'طیف فازی'!$B$3,IF('امتیاز دهی خبرگان'!$M112=3,'طیف فازی'!$B$4,IF('امتیاز دهی خبرگان'!$M112=4,'طیف فازی'!$B$5,'طیف فازی'!$B$6)))))</f>
        <v>0.5</v>
      </c>
      <c r="AH112" s="18">
        <f>IF('امتیاز دهی خبرگان'!$M112=0,0,IF('امتیاز دهی خبرگان'!$M112=1,'طیف فازی'!$C$2,IF('امتیاز دهی خبرگان'!$M112=2,'طیف فازی'!$C$3,IF('امتیاز دهی خبرگان'!$M112=3,'طیف فازی'!$C$4,IF('امتیاز دهی خبرگان'!$M112=4,'طیف فازی'!$C$5,'طیف فازی'!$C$6)))))</f>
        <v>0.75</v>
      </c>
      <c r="AI112" s="19">
        <f>IF('امتیاز دهی خبرگان'!$M112=0,0,IF('امتیاز دهی خبرگان'!$M112=1,'طیف فازی'!$D$2,IF('امتیاز دهی خبرگان'!$M112=2,'طیف فازی'!$D$3,IF('امتیاز دهی خبرگان'!$M112=3,'طیف فازی'!$D$4,IF('امتیاز دهی خبرگان'!$M112=4,'طیف فازی'!$D$5,'طیف فازی'!$D$6)))))</f>
        <v>1</v>
      </c>
      <c r="AJ112" s="17">
        <f>IF('امتیاز دهی خبرگان'!$N112=0,0,IF('امتیاز دهی خبرگان'!$N112=1,'طیف فازی'!$B$2,IF('امتیاز دهی خبرگان'!$N112=2,'طیف فازی'!$B$3,IF('امتیاز دهی خبرگان'!$N112=3,'طیف فازی'!$B$4,IF('امتیاز دهی خبرگان'!$N112=4,'طیف فازی'!$B$5,'طیف فازی'!$B$6)))))</f>
        <v>0.75</v>
      </c>
      <c r="AK112" s="18">
        <f>IF('امتیاز دهی خبرگان'!$N112=0,0,IF('امتیاز دهی خبرگان'!$N112=1,'طیف فازی'!$C$2,IF('امتیاز دهی خبرگان'!$N112=2,'طیف فازی'!$C$3,IF('امتیاز دهی خبرگان'!$N112=3,'طیف فازی'!$C$4,IF('امتیاز دهی خبرگان'!$N112=4,'طیف فازی'!$C$5,'طیف فازی'!$C$6)))))</f>
        <v>1</v>
      </c>
      <c r="AL112" s="19">
        <f>IF('امتیاز دهی خبرگان'!$N112=0,0,IF('امتیاز دهی خبرگان'!$N112=1,'طیف فازی'!$D$2,IF('امتیاز دهی خبرگان'!$N112=2,'طیف فازی'!$D$3,IF('امتیاز دهی خبرگان'!$N112=3,'طیف فازی'!$D$4,IF('امتیاز دهی خبرگان'!$N112=4,'طیف فازی'!$D$5,'طیف فازی'!$D$6)))))</f>
        <v>1</v>
      </c>
      <c r="AM112" s="23">
        <f t="shared" si="9"/>
        <v>7</v>
      </c>
      <c r="AN112" s="23">
        <f t="shared" si="10"/>
        <v>10</v>
      </c>
      <c r="AO112" s="24">
        <f t="shared" si="11"/>
        <v>11.5</v>
      </c>
      <c r="AP112" s="25">
        <f t="shared" si="12"/>
        <v>0.58333333333333337</v>
      </c>
      <c r="AQ112" s="23">
        <f t="shared" si="13"/>
        <v>0.83333333333333337</v>
      </c>
      <c r="AR112" s="24">
        <f t="shared" si="14"/>
        <v>0.95833333333333337</v>
      </c>
      <c r="AS112" s="24">
        <f t="shared" si="15"/>
        <v>0.79166666666666663</v>
      </c>
      <c r="AT112" s="24" t="str">
        <f t="shared" si="16"/>
        <v>Pass</v>
      </c>
    </row>
    <row r="113" spans="2:46" ht="23.25" customHeight="1" thickBot="1" x14ac:dyDescent="0.85">
      <c r="B113" s="2">
        <v>109</v>
      </c>
      <c r="C113" s="17">
        <f>IF('امتیاز دهی خبرگان'!$C113=0,0,IF('امتیاز دهی خبرگان'!$C113=1,'طیف فازی'!$B$2,IF('امتیاز دهی خبرگان'!$C113=2,'طیف فازی'!$B$3,IF('امتیاز دهی خبرگان'!$C113=3,'طیف فازی'!$B$4,IF('امتیاز دهی خبرگان'!$C113=4,'طیف فازی'!$B$5,'طیف فازی'!$B$6)))))</f>
        <v>0.5</v>
      </c>
      <c r="D113" s="18">
        <f>IF('امتیاز دهی خبرگان'!$C113=0,0,IF('امتیاز دهی خبرگان'!$C113=1,'طیف فازی'!$C$2,IF('امتیاز دهی خبرگان'!$C113=2,'طیف فازی'!$C$3,IF('امتیاز دهی خبرگان'!$C113=3,'طیف فازی'!$C$4,IF('امتیاز دهی خبرگان'!$C113=4,'طیف فازی'!$C$5,'طیف فازی'!$C$6)))))</f>
        <v>0.75</v>
      </c>
      <c r="E113" s="19">
        <f>IF('امتیاز دهی خبرگان'!$C113=0,0,IF('امتیاز دهی خبرگان'!$C113=1,'طیف فازی'!$D$2,IF('امتیاز دهی خبرگان'!$C113=2,'طیف فازی'!$D$3,IF('امتیاز دهی خبرگان'!$C113=3,'طیف فازی'!$D$4,IF('امتیاز دهی خبرگان'!$C113=4,'طیف فازی'!$D$5,'طیف فازی'!$D$6)))))</f>
        <v>1</v>
      </c>
      <c r="F113" s="20">
        <f>IF('امتیاز دهی خبرگان'!$D113=0,0,IF('امتیاز دهی خبرگان'!$D113=1,'طیف فازی'!$B$2,IF('امتیاز دهی خبرگان'!$D113=2,'طیف فازی'!$B$3,IF('امتیاز دهی خبرگان'!$D113=3,'طیف فازی'!$B$4,IF('امتیاز دهی خبرگان'!$D113=4,'طیف فازی'!$B$5,'طیف فازی'!$B$6)))))</f>
        <v>0.5</v>
      </c>
      <c r="G113" s="21">
        <f>IF('امتیاز دهی خبرگان'!$D113=0,0,IF('امتیاز دهی خبرگان'!$D113=1,'طیف فازی'!$D$2,IF('امتیاز دهی خبرگان'!$D113=2,'طیف فازی'!$C$3,IF('امتیاز دهی خبرگان'!$D113=3,'طیف فازی'!$C$4,IF('امتیاز دهی خبرگان'!$D113=4,'طیف فازی'!$C$5,'طیف فازی'!$C$6)))))</f>
        <v>0.75</v>
      </c>
      <c r="H113" s="22">
        <f>IF('امتیاز دهی خبرگان'!$D113=0,0,IF('امتیاز دهی خبرگان'!$D113=1,'طیف فازی'!$D$2,IF('امتیاز دهی خبرگان'!$D113=2,'طیف فازی'!$D$3,IF('امتیاز دهی خبرگان'!$D113=3,'طیف فازی'!$D$4,IF('امتیاز دهی خبرگان'!$D113=4,'طیف فازی'!$D$5,'طیف فازی'!$D$6)))))</f>
        <v>1</v>
      </c>
      <c r="I113" s="17">
        <f>IF('امتیاز دهی خبرگان'!$E113=0,0,IF('امتیاز دهی خبرگان'!$E113=1,'طیف فازی'!$B$2,IF('امتیاز دهی خبرگان'!$E113=2,'طیف فازی'!$B$3,IF('امتیاز دهی خبرگان'!$E113=3,'طیف فازی'!$B$4,IF('امتیاز دهی خبرگان'!$E113=4,'طیف فازی'!$B$5,'طیف فازی'!$B$6)))))</f>
        <v>0.75</v>
      </c>
      <c r="J113" s="18">
        <f>IF('امتیاز دهی خبرگان'!$E113=0,0,IF('امتیاز دهی خبرگان'!$E113=1,'طیف فازی'!$C$2,IF('امتیاز دهی خبرگان'!$E113=2,'طیف فازی'!$C$3,IF('امتیاز دهی خبرگان'!$E113=3,'طیف فازی'!$C$4,IF('امتیاز دهی خبرگان'!$E113=4,'طیف فازی'!$C$5,'طیف فازی'!$C$6)))))</f>
        <v>1</v>
      </c>
      <c r="K113" s="19">
        <f>IF('امتیاز دهی خبرگان'!$E113=0,0,IF('امتیاز دهی خبرگان'!$E113=1,'طیف فازی'!$D$2,IF('امتیاز دهی خبرگان'!$E113=2,'طیف فازی'!$D$3,IF('امتیاز دهی خبرگان'!$E113=3,'طیف فازی'!$D$4,IF('امتیاز دهی خبرگان'!$E113=4,'طیف فازی'!$D$5,'طیف فازی'!$D$6)))))</f>
        <v>1</v>
      </c>
      <c r="L113" s="17">
        <f>IF('امتیاز دهی خبرگان'!$F113=0,0,IF('امتیاز دهی خبرگان'!$F113=1,'طیف فازی'!$B$2,IF('امتیاز دهی خبرگان'!$F113=2,'طیف فازی'!$B$3,IF('امتیاز دهی خبرگان'!$F113=3,'طیف فازی'!$B$4,IF('امتیاز دهی خبرگان'!$F113=4,'طیف فازی'!$B$5,'طیف فازی'!$B$6)))))</f>
        <v>0.75</v>
      </c>
      <c r="M113" s="18">
        <f>IF('امتیاز دهی خبرگان'!$F113=0,0,IF('امتیاز دهی خبرگان'!$F113=1,'طیف فازی'!$C$2,IF('امتیاز دهی خبرگان'!$F113=2,'طیف فازی'!$C$3,IF('امتیاز دهی خبرگان'!$F113=3,'طیف فازی'!$C$4,IF('امتیاز دهی خبرگان'!$F113=4,'طیف فازی'!$C$5,'طیف فازی'!$C$6)))))</f>
        <v>1</v>
      </c>
      <c r="N113" s="19">
        <f>IF('امتیاز دهی خبرگان'!$F113=0,0,IF('امتیاز دهی خبرگان'!$F113=1,'طیف فازی'!$D$2,IF('امتیاز دهی خبرگان'!$F113=2,'طیف فازی'!$D$3,IF('امتیاز دهی خبرگان'!$F113=3,'طیف فازی'!$D$4,IF('امتیاز دهی خبرگان'!$F113=4,'طیف فازی'!$D$5,'طیف فازی'!$D$6)))))</f>
        <v>1</v>
      </c>
      <c r="O113" s="17">
        <f>IF('امتیاز دهی خبرگان'!$G113=0,0,IF('امتیاز دهی خبرگان'!$G113=1,'طیف فازی'!$B$2,IF('امتیاز دهی خبرگان'!$G113=2,'طیف فازی'!$B$3,IF('امتیاز دهی خبرگان'!$G113=3,'طیف فازی'!$B$4,IF('امتیاز دهی خبرگان'!$G113=4,'طیف فازی'!$B$5,'طیف فازی'!$B$6)))))</f>
        <v>0.75</v>
      </c>
      <c r="P113" s="18">
        <f>IF('امتیاز دهی خبرگان'!$G113=0,0,IF('امتیاز دهی خبرگان'!$G113=1,'طیف فازی'!$C$2,IF('امتیاز دهی خبرگان'!$G113=2,'طیف فازی'!$C$3,IF('امتیاز دهی خبرگان'!$G113=3,'طیف فازی'!$C$4,IF('امتیاز دهی خبرگان'!$G113=4,'طیف فازی'!$C$5,'طیف فازی'!$C$6)))))</f>
        <v>1</v>
      </c>
      <c r="Q113" s="19">
        <f>IF('امتیاز دهی خبرگان'!$G113=0,0,IF('امتیاز دهی خبرگان'!$G113=1,'طیف فازی'!$D$2,IF('امتیاز دهی خبرگان'!$G113=2,'طیف فازی'!$D$3,IF('امتیاز دهی خبرگان'!$G113=3,'طیف فازی'!$D$4,IF('امتیاز دهی خبرگان'!$G113=4,'طیف فازی'!$D$5,'طیف فازی'!$D$6)))))</f>
        <v>1</v>
      </c>
      <c r="R113" s="17">
        <f>IF('امتیاز دهی خبرگان'!$H113=0,0,IF('امتیاز دهی خبرگان'!$H113=1,'طیف فازی'!$B$2,IF('امتیاز دهی خبرگان'!$H113=2,'طیف فازی'!$B$3,IF('امتیاز دهی خبرگان'!$H113=3,'طیف فازی'!$B$4,IF('امتیاز دهی خبرگان'!$H113=4,'طیف فازی'!$B$5,'طیف فازی'!$B$6)))))</f>
        <v>0.75</v>
      </c>
      <c r="S113" s="18">
        <f>IF('امتیاز دهی خبرگان'!$H113=0,0,IF('امتیاز دهی خبرگان'!$H113=1,'طیف فازی'!$C$2,IF('امتیاز دهی خبرگان'!$H113=2,'طیف فازی'!$C$3,IF('امتیاز دهی خبرگان'!$H113=3,'طیف فازی'!$C$4,IF('امتیاز دهی خبرگان'!$H113=4,'طیف فازی'!$C$5,'طیف فازی'!$C$6)))))</f>
        <v>1</v>
      </c>
      <c r="T113" s="19">
        <f>IF('امتیاز دهی خبرگان'!$H113=0,0,IF('امتیاز دهی خبرگان'!$H113=1,'طیف فازی'!$D$2,IF('امتیاز دهی خبرگان'!$H113=2,'طیف فازی'!$D$3,IF('امتیاز دهی خبرگان'!$H113=3,'طیف فازی'!$D$4,IF('امتیاز دهی خبرگان'!$H113=4,'طیف فازی'!$D$5,'طیف فازی'!$D$6)))))</f>
        <v>1</v>
      </c>
      <c r="U113" s="17">
        <f>IF('امتیاز دهی خبرگان'!$I113=0,0,IF('امتیاز دهی خبرگان'!$I113=1,'طیف فازی'!$B$2,IF('امتیاز دهی خبرگان'!$I113=2,'طیف فازی'!$B$3,IF('امتیاز دهی خبرگان'!$I113=3,'طیف فازی'!$B$4,IF('امتیاز دهی خبرگان'!$I113=4,'طیف فازی'!$B$5,'طیف فازی'!$B$6)))))</f>
        <v>0.5</v>
      </c>
      <c r="V113" s="18">
        <f>IF('امتیاز دهی خبرگان'!$I113=0,0,IF('امتیاز دهی خبرگان'!$I113=1,'طیف فازی'!$C$2,IF('امتیاز دهی خبرگان'!$I113=2,'طیف فازی'!$C$3,IF('امتیاز دهی خبرگان'!$I113=3,'طیف فازی'!$C$4,IF('امتیاز دهی خبرگان'!$I113=4,'طیف فازی'!$C$5,'طیف فازی'!$C$6)))))</f>
        <v>0.75</v>
      </c>
      <c r="W113" s="19">
        <f>IF('امتیاز دهی خبرگان'!$I113=0,0,IF('امتیاز دهی خبرگان'!$I113=1,'طیف فازی'!$D$2,IF('امتیاز دهی خبرگان'!$I113=2,'طیف فازی'!$D$3,IF('امتیاز دهی خبرگان'!$I113=3,'طیف فازی'!$D$4,IF('امتیاز دهی خبرگان'!$I113=4,'طیف فازی'!$D$5,'طیف فازی'!$D$6)))))</f>
        <v>1</v>
      </c>
      <c r="X113" s="17">
        <f>IF('امتیاز دهی خبرگان'!$J113=0,0,IF('امتیاز دهی خبرگان'!$J113=1,'طیف فازی'!$B$2,IF('امتیاز دهی خبرگان'!$J113=2,'طیف فازی'!$B$3,IF('امتیاز دهی خبرگان'!$J113=3,'طیف فازی'!$B$4,IF('امتیاز دهی خبرگان'!$J113=4,'طیف فازی'!$B$5,'طیف فازی'!$B$6)))))</f>
        <v>0.25</v>
      </c>
      <c r="Y113" s="18">
        <f>IF('امتیاز دهی خبرگان'!$J113=0,0,IF('امتیاز دهی خبرگان'!$J113=1,'طیف فازی'!$C$2,IF('امتیاز دهی خبرگان'!$J113=2,'طیف فازی'!$C$3,IF('امتیاز دهی خبرگان'!$J113=3,'طیف فازی'!$C$4,IF('امتیاز دهی خبرگان'!$J113=4,'طیف فازی'!$C$5,'طیف فازی'!$C$6)))))</f>
        <v>0.5</v>
      </c>
      <c r="Z113" s="19">
        <f>IF('امتیاز دهی خبرگان'!$J113=0,0,IF('امتیاز دهی خبرگان'!$J113=1,'طیف فازی'!$D$2,IF('امتیاز دهی خبرگان'!$J113=2,'طیف فازی'!$D$3,IF('امتیاز دهی خبرگان'!$J113=3,'طیف فازی'!$D$4,IF('امتیاز دهی خبرگان'!$J113=4,'طیف فازی'!$D$5,'طیف فازی'!$D$6)))))</f>
        <v>0.75</v>
      </c>
      <c r="AA113" s="17">
        <f>IF('امتیاز دهی خبرگان'!$K113=0,0,IF('امتیاز دهی خبرگان'!$K113=1,'طیف فازی'!$B$2,IF('امتیاز دهی خبرگان'!$K113=2,'طیف فازی'!$B$3,IF('امتیاز دهی خبرگان'!$K113=3,'طیف فازی'!$B$4,IF('امتیاز دهی خبرگان'!$K113=4,'طیف فازی'!$B$5,'طیف فازی'!$B$6)))))</f>
        <v>0.75</v>
      </c>
      <c r="AB113" s="18">
        <f>IF('امتیاز دهی خبرگان'!$K113=0,0,IF('امتیاز دهی خبرگان'!$K113=1,'طیف فازی'!$C$2,IF('امتیاز دهی خبرگان'!$K113=2,'طیف فازی'!$C$3,IF('امتیاز دهی خبرگان'!$K113=3,'طیف فازی'!$C$4,IF('امتیاز دهی خبرگان'!$K113=4,'طیف فازی'!$C$5,'طیف فازی'!$C$6)))))</f>
        <v>1</v>
      </c>
      <c r="AC113" s="19">
        <f>IF('امتیاز دهی خبرگان'!$K113=0,0,IF('امتیاز دهی خبرگان'!$K113=1,'طیف فازی'!$D$2,IF('امتیاز دهی خبرگان'!$K113=2,'طیف فازی'!$D$3,IF('امتیاز دهی خبرگان'!$K113=3,'طیف فازی'!$D$4,IF('امتیاز دهی خبرگان'!$K113=4,'طیف فازی'!$D$5,'طیف فازی'!$D$6)))))</f>
        <v>1</v>
      </c>
      <c r="AD113" s="17">
        <f>IF('امتیاز دهی خبرگان'!$L113=0,0,IF('امتیاز دهی خبرگان'!$L113=1,'طیف فازی'!$B$2,IF('امتیاز دهی خبرگان'!$L113=2,'طیف فازی'!$B$3,IF('امتیاز دهی خبرگان'!$L113=3,'طیف فازی'!$B$4,IF('امتیاز دهی خبرگان'!$L113=4,'طیف فازی'!$B$5,'طیف فازی'!$B$6)))))</f>
        <v>0.5</v>
      </c>
      <c r="AE113" s="18">
        <f>IF('امتیاز دهی خبرگان'!$L113=0,0,IF('امتیاز دهی خبرگان'!$L113=1,'طیف فازی'!$C$2,IF('امتیاز دهی خبرگان'!$L113=2,'طیف فازی'!$C$3,IF('امتیاز دهی خبرگان'!$L113=3,'طیف فازی'!$C$4,IF('امتیاز دهی خبرگان'!$L113=4,'طیف فازی'!$C$5,'طیف فازی'!$C$6)))))</f>
        <v>0.75</v>
      </c>
      <c r="AF113" s="19">
        <f>IF('امتیاز دهی خبرگان'!$L113=0,0,IF('امتیاز دهی خبرگان'!$L113=1,'طیف فازی'!$D$2,IF('امتیاز دهی خبرگان'!$L113=2,'طیف فازی'!$D$3,IF('امتیاز دهی خبرگان'!$L113=3,'طیف فازی'!$D$4,IF('امتیاز دهی خبرگان'!$L113=4,'طیف فازی'!$D$5,'طیف فازی'!$D$6)))))</f>
        <v>1</v>
      </c>
      <c r="AG113" s="17">
        <f>IF('امتیاز دهی خبرگان'!$M113=0,0,IF('امتیاز دهی خبرگان'!$M113=1,'طیف فازی'!$B$2,IF('امتیاز دهی خبرگان'!$M113=2,'طیف فازی'!$B$3,IF('امتیاز دهی خبرگان'!$M113=3,'طیف فازی'!$B$4,IF('امتیاز دهی خبرگان'!$M113=4,'طیف فازی'!$B$5,'طیف فازی'!$B$6)))))</f>
        <v>0.25</v>
      </c>
      <c r="AH113" s="18">
        <f>IF('امتیاز دهی خبرگان'!$M113=0,0,IF('امتیاز دهی خبرگان'!$M113=1,'طیف فازی'!$C$2,IF('امتیاز دهی خبرگان'!$M113=2,'طیف فازی'!$C$3,IF('امتیاز دهی خبرگان'!$M113=3,'طیف فازی'!$C$4,IF('امتیاز دهی خبرگان'!$M113=4,'طیف فازی'!$C$5,'طیف فازی'!$C$6)))))</f>
        <v>0.5</v>
      </c>
      <c r="AI113" s="19">
        <f>IF('امتیاز دهی خبرگان'!$M113=0,0,IF('امتیاز دهی خبرگان'!$M113=1,'طیف فازی'!$D$2,IF('امتیاز دهی خبرگان'!$M113=2,'طیف فازی'!$D$3,IF('امتیاز دهی خبرگان'!$M113=3,'طیف فازی'!$D$4,IF('امتیاز دهی خبرگان'!$M113=4,'طیف فازی'!$D$5,'طیف فازی'!$D$6)))))</f>
        <v>0.75</v>
      </c>
      <c r="AJ113" s="17">
        <f>IF('امتیاز دهی خبرگان'!$N113=0,0,IF('امتیاز دهی خبرگان'!$N113=1,'طیف فازی'!$B$2,IF('امتیاز دهی خبرگان'!$N113=2,'طیف فازی'!$B$3,IF('امتیاز دهی خبرگان'!$N113=3,'طیف فازی'!$B$4,IF('امتیاز دهی خبرگان'!$N113=4,'طیف فازی'!$B$5,'طیف فازی'!$B$6)))))</f>
        <v>0.25</v>
      </c>
      <c r="AK113" s="18">
        <f>IF('امتیاز دهی خبرگان'!$N113=0,0,IF('امتیاز دهی خبرگان'!$N113=1,'طیف فازی'!$C$2,IF('امتیاز دهی خبرگان'!$N113=2,'طیف فازی'!$C$3,IF('امتیاز دهی خبرگان'!$N113=3,'طیف فازی'!$C$4,IF('امتیاز دهی خبرگان'!$N113=4,'طیف فازی'!$C$5,'طیف فازی'!$C$6)))))</f>
        <v>0.5</v>
      </c>
      <c r="AL113" s="19">
        <f>IF('امتیاز دهی خبرگان'!$N113=0,0,IF('امتیاز دهی خبرگان'!$N113=1,'طیف فازی'!$D$2,IF('امتیاز دهی خبرگان'!$N113=2,'طیف فازی'!$D$3,IF('امتیاز دهی خبرگان'!$N113=3,'طیف فازی'!$D$4,IF('امتیاز دهی خبرگان'!$N113=4,'طیف فازی'!$D$5,'طیف فازی'!$D$6)))))</f>
        <v>0.75</v>
      </c>
      <c r="AM113" s="23">
        <f t="shared" si="9"/>
        <v>6.5</v>
      </c>
      <c r="AN113" s="23">
        <f t="shared" si="10"/>
        <v>9.5</v>
      </c>
      <c r="AO113" s="24">
        <f t="shared" si="11"/>
        <v>11.25</v>
      </c>
      <c r="AP113" s="25">
        <f t="shared" si="12"/>
        <v>0.54166666666666663</v>
      </c>
      <c r="AQ113" s="23">
        <f t="shared" si="13"/>
        <v>0.79166666666666663</v>
      </c>
      <c r="AR113" s="24">
        <f t="shared" si="14"/>
        <v>0.9375</v>
      </c>
      <c r="AS113" s="24">
        <f t="shared" si="15"/>
        <v>0.75694444444444431</v>
      </c>
      <c r="AT113" s="24" t="str">
        <f t="shared" si="16"/>
        <v>Pass</v>
      </c>
    </row>
    <row r="114" spans="2:46" ht="23.25" customHeight="1" thickBot="1" x14ac:dyDescent="0.85">
      <c r="B114" s="2">
        <v>110</v>
      </c>
      <c r="C114" s="17">
        <f>IF('امتیاز دهی خبرگان'!$C114=0,0,IF('امتیاز دهی خبرگان'!$C114=1,'طیف فازی'!$B$2,IF('امتیاز دهی خبرگان'!$C114=2,'طیف فازی'!$B$3,IF('امتیاز دهی خبرگان'!$C114=3,'طیف فازی'!$B$4,IF('امتیاز دهی خبرگان'!$C114=4,'طیف فازی'!$B$5,'طیف فازی'!$B$6)))))</f>
        <v>0.75</v>
      </c>
      <c r="D114" s="18">
        <f>IF('امتیاز دهی خبرگان'!$C114=0,0,IF('امتیاز دهی خبرگان'!$C114=1,'طیف فازی'!$C$2,IF('امتیاز دهی خبرگان'!$C114=2,'طیف فازی'!$C$3,IF('امتیاز دهی خبرگان'!$C114=3,'طیف فازی'!$C$4,IF('امتیاز دهی خبرگان'!$C114=4,'طیف فازی'!$C$5,'طیف فازی'!$C$6)))))</f>
        <v>1</v>
      </c>
      <c r="E114" s="19">
        <f>IF('امتیاز دهی خبرگان'!$C114=0,0,IF('امتیاز دهی خبرگان'!$C114=1,'طیف فازی'!$D$2,IF('امتیاز دهی خبرگان'!$C114=2,'طیف فازی'!$D$3,IF('امتیاز دهی خبرگان'!$C114=3,'طیف فازی'!$D$4,IF('امتیاز دهی خبرگان'!$C114=4,'طیف فازی'!$D$5,'طیف فازی'!$D$6)))))</f>
        <v>1</v>
      </c>
      <c r="F114" s="20">
        <f>IF('امتیاز دهی خبرگان'!$D114=0,0,IF('امتیاز دهی خبرگان'!$D114=1,'طیف فازی'!$B$2,IF('امتیاز دهی خبرگان'!$D114=2,'طیف فازی'!$B$3,IF('امتیاز دهی خبرگان'!$D114=3,'طیف فازی'!$B$4,IF('امتیاز دهی خبرگان'!$D114=4,'طیف فازی'!$B$5,'طیف فازی'!$B$6)))))</f>
        <v>0</v>
      </c>
      <c r="G114" s="21">
        <f>IF('امتیاز دهی خبرگان'!$D114=0,0,IF('امتیاز دهی خبرگان'!$D114=1,'طیف فازی'!$D$2,IF('امتیاز دهی خبرگان'!$D114=2,'طیف فازی'!$C$3,IF('امتیاز دهی خبرگان'!$D114=3,'طیف فازی'!$C$4,IF('امتیاز دهی خبرگان'!$D114=4,'طیف فازی'!$C$5,'طیف فازی'!$C$6)))))</f>
        <v>0.25</v>
      </c>
      <c r="H114" s="22">
        <f>IF('امتیاز دهی خبرگان'!$D114=0,0,IF('امتیاز دهی خبرگان'!$D114=1,'طیف فازی'!$D$2,IF('امتیاز دهی خبرگان'!$D114=2,'طیف فازی'!$D$3,IF('امتیاز دهی خبرگان'!$D114=3,'طیف فازی'!$D$4,IF('امتیاز دهی خبرگان'!$D114=4,'طیف فازی'!$D$5,'طیف فازی'!$D$6)))))</f>
        <v>0.25</v>
      </c>
      <c r="I114" s="17">
        <f>IF('امتیاز دهی خبرگان'!$E114=0,0,IF('امتیاز دهی خبرگان'!$E114=1,'طیف فازی'!$B$2,IF('امتیاز دهی خبرگان'!$E114=2,'طیف فازی'!$B$3,IF('امتیاز دهی خبرگان'!$E114=3,'طیف فازی'!$B$4,IF('امتیاز دهی خبرگان'!$E114=4,'طیف فازی'!$B$5,'طیف فازی'!$B$6)))))</f>
        <v>0.75</v>
      </c>
      <c r="J114" s="18">
        <f>IF('امتیاز دهی خبرگان'!$E114=0,0,IF('امتیاز دهی خبرگان'!$E114=1,'طیف فازی'!$C$2,IF('امتیاز دهی خبرگان'!$E114=2,'طیف فازی'!$C$3,IF('امتیاز دهی خبرگان'!$E114=3,'طیف فازی'!$C$4,IF('امتیاز دهی خبرگان'!$E114=4,'طیف فازی'!$C$5,'طیف فازی'!$C$6)))))</f>
        <v>1</v>
      </c>
      <c r="K114" s="19">
        <f>IF('امتیاز دهی خبرگان'!$E114=0,0,IF('امتیاز دهی خبرگان'!$E114=1,'طیف فازی'!$D$2,IF('امتیاز دهی خبرگان'!$E114=2,'طیف فازی'!$D$3,IF('امتیاز دهی خبرگان'!$E114=3,'طیف فازی'!$D$4,IF('امتیاز دهی خبرگان'!$E114=4,'طیف فازی'!$D$5,'طیف فازی'!$D$6)))))</f>
        <v>1</v>
      </c>
      <c r="L114" s="17">
        <f>IF('امتیاز دهی خبرگان'!$F114=0,0,IF('امتیاز دهی خبرگان'!$F114=1,'طیف فازی'!$B$2,IF('امتیاز دهی خبرگان'!$F114=2,'طیف فازی'!$B$3,IF('امتیاز دهی خبرگان'!$F114=3,'طیف فازی'!$B$4,IF('امتیاز دهی خبرگان'!$F114=4,'طیف فازی'!$B$5,'طیف فازی'!$B$6)))))</f>
        <v>0.75</v>
      </c>
      <c r="M114" s="18">
        <f>IF('امتیاز دهی خبرگان'!$F114=0,0,IF('امتیاز دهی خبرگان'!$F114=1,'طیف فازی'!$C$2,IF('امتیاز دهی خبرگان'!$F114=2,'طیف فازی'!$C$3,IF('امتیاز دهی خبرگان'!$F114=3,'طیف فازی'!$C$4,IF('امتیاز دهی خبرگان'!$F114=4,'طیف فازی'!$C$5,'طیف فازی'!$C$6)))))</f>
        <v>1</v>
      </c>
      <c r="N114" s="19">
        <f>IF('امتیاز دهی خبرگان'!$F114=0,0,IF('امتیاز دهی خبرگان'!$F114=1,'طیف فازی'!$D$2,IF('امتیاز دهی خبرگان'!$F114=2,'طیف فازی'!$D$3,IF('امتیاز دهی خبرگان'!$F114=3,'طیف فازی'!$D$4,IF('امتیاز دهی خبرگان'!$F114=4,'طیف فازی'!$D$5,'طیف فازی'!$D$6)))))</f>
        <v>1</v>
      </c>
      <c r="O114" s="17">
        <f>IF('امتیاز دهی خبرگان'!$G114=0,0,IF('امتیاز دهی خبرگان'!$G114=1,'طیف فازی'!$B$2,IF('امتیاز دهی خبرگان'!$G114=2,'طیف فازی'!$B$3,IF('امتیاز دهی خبرگان'!$G114=3,'طیف فازی'!$B$4,IF('امتیاز دهی خبرگان'!$G114=4,'طیف فازی'!$B$5,'طیف فازی'!$B$6)))))</f>
        <v>0.5</v>
      </c>
      <c r="P114" s="18">
        <f>IF('امتیاز دهی خبرگان'!$G114=0,0,IF('امتیاز دهی خبرگان'!$G114=1,'طیف فازی'!$C$2,IF('امتیاز دهی خبرگان'!$G114=2,'طیف فازی'!$C$3,IF('امتیاز دهی خبرگان'!$G114=3,'طیف فازی'!$C$4,IF('امتیاز دهی خبرگان'!$G114=4,'طیف فازی'!$C$5,'طیف فازی'!$C$6)))))</f>
        <v>0.75</v>
      </c>
      <c r="Q114" s="19">
        <f>IF('امتیاز دهی خبرگان'!$G114=0,0,IF('امتیاز دهی خبرگان'!$G114=1,'طیف فازی'!$D$2,IF('امتیاز دهی خبرگان'!$G114=2,'طیف فازی'!$D$3,IF('امتیاز دهی خبرگان'!$G114=3,'طیف فازی'!$D$4,IF('امتیاز دهی خبرگان'!$G114=4,'طیف فازی'!$D$5,'طیف فازی'!$D$6)))))</f>
        <v>1</v>
      </c>
      <c r="R114" s="17">
        <f>IF('امتیاز دهی خبرگان'!$H114=0,0,IF('امتیاز دهی خبرگان'!$H114=1,'طیف فازی'!$B$2,IF('امتیاز دهی خبرگان'!$H114=2,'طیف فازی'!$B$3,IF('امتیاز دهی خبرگان'!$H114=3,'طیف فازی'!$B$4,IF('امتیاز دهی خبرگان'!$H114=4,'طیف فازی'!$B$5,'طیف فازی'!$B$6)))))</f>
        <v>0.5</v>
      </c>
      <c r="S114" s="18">
        <f>IF('امتیاز دهی خبرگان'!$H114=0,0,IF('امتیاز دهی خبرگان'!$H114=1,'طیف فازی'!$C$2,IF('امتیاز دهی خبرگان'!$H114=2,'طیف فازی'!$C$3,IF('امتیاز دهی خبرگان'!$H114=3,'طیف فازی'!$C$4,IF('امتیاز دهی خبرگان'!$H114=4,'طیف فازی'!$C$5,'طیف فازی'!$C$6)))))</f>
        <v>0.75</v>
      </c>
      <c r="T114" s="19">
        <f>IF('امتیاز دهی خبرگان'!$H114=0,0,IF('امتیاز دهی خبرگان'!$H114=1,'طیف فازی'!$D$2,IF('امتیاز دهی خبرگان'!$H114=2,'طیف فازی'!$D$3,IF('امتیاز دهی خبرگان'!$H114=3,'طیف فازی'!$D$4,IF('امتیاز دهی خبرگان'!$H114=4,'طیف فازی'!$D$5,'طیف فازی'!$D$6)))))</f>
        <v>1</v>
      </c>
      <c r="U114" s="17">
        <f>IF('امتیاز دهی خبرگان'!$I114=0,0,IF('امتیاز دهی خبرگان'!$I114=1,'طیف فازی'!$B$2,IF('امتیاز دهی خبرگان'!$I114=2,'طیف فازی'!$B$3,IF('امتیاز دهی خبرگان'!$I114=3,'طیف فازی'!$B$4,IF('امتیاز دهی خبرگان'!$I114=4,'طیف فازی'!$B$5,'طیف فازی'!$B$6)))))</f>
        <v>0.5</v>
      </c>
      <c r="V114" s="18">
        <f>IF('امتیاز دهی خبرگان'!$I114=0,0,IF('امتیاز دهی خبرگان'!$I114=1,'طیف فازی'!$C$2,IF('امتیاز دهی خبرگان'!$I114=2,'طیف فازی'!$C$3,IF('امتیاز دهی خبرگان'!$I114=3,'طیف فازی'!$C$4,IF('امتیاز دهی خبرگان'!$I114=4,'طیف فازی'!$C$5,'طیف فازی'!$C$6)))))</f>
        <v>0.75</v>
      </c>
      <c r="W114" s="19">
        <f>IF('امتیاز دهی خبرگان'!$I114=0,0,IF('امتیاز دهی خبرگان'!$I114=1,'طیف فازی'!$D$2,IF('امتیاز دهی خبرگان'!$I114=2,'طیف فازی'!$D$3,IF('امتیاز دهی خبرگان'!$I114=3,'طیف فازی'!$D$4,IF('امتیاز دهی خبرگان'!$I114=4,'طیف فازی'!$D$5,'طیف فازی'!$D$6)))))</f>
        <v>1</v>
      </c>
      <c r="X114" s="17">
        <f>IF('امتیاز دهی خبرگان'!$J114=0,0,IF('امتیاز دهی خبرگان'!$J114=1,'طیف فازی'!$B$2,IF('امتیاز دهی خبرگان'!$J114=2,'طیف فازی'!$B$3,IF('امتیاز دهی خبرگان'!$J114=3,'طیف فازی'!$B$4,IF('امتیاز دهی خبرگان'!$J114=4,'طیف فازی'!$B$5,'طیف فازی'!$B$6)))))</f>
        <v>0.5</v>
      </c>
      <c r="Y114" s="18">
        <f>IF('امتیاز دهی خبرگان'!$J114=0,0,IF('امتیاز دهی خبرگان'!$J114=1,'طیف فازی'!$C$2,IF('امتیاز دهی خبرگان'!$J114=2,'طیف فازی'!$C$3,IF('امتیاز دهی خبرگان'!$J114=3,'طیف فازی'!$C$4,IF('امتیاز دهی خبرگان'!$J114=4,'طیف فازی'!$C$5,'طیف فازی'!$C$6)))))</f>
        <v>0.75</v>
      </c>
      <c r="Z114" s="19">
        <f>IF('امتیاز دهی خبرگان'!$J114=0,0,IF('امتیاز دهی خبرگان'!$J114=1,'طیف فازی'!$D$2,IF('امتیاز دهی خبرگان'!$J114=2,'طیف فازی'!$D$3,IF('امتیاز دهی خبرگان'!$J114=3,'طیف فازی'!$D$4,IF('امتیاز دهی خبرگان'!$J114=4,'طیف فازی'!$D$5,'طیف فازی'!$D$6)))))</f>
        <v>1</v>
      </c>
      <c r="AA114" s="17">
        <f>IF('امتیاز دهی خبرگان'!$K114=0,0,IF('امتیاز دهی خبرگان'!$K114=1,'طیف فازی'!$B$2,IF('امتیاز دهی خبرگان'!$K114=2,'طیف فازی'!$B$3,IF('امتیاز دهی خبرگان'!$K114=3,'طیف فازی'!$B$4,IF('امتیاز دهی خبرگان'!$K114=4,'طیف فازی'!$B$5,'طیف فازی'!$B$6)))))</f>
        <v>0.5</v>
      </c>
      <c r="AB114" s="18">
        <f>IF('امتیاز دهی خبرگان'!$K114=0,0,IF('امتیاز دهی خبرگان'!$K114=1,'طیف فازی'!$C$2,IF('امتیاز دهی خبرگان'!$K114=2,'طیف فازی'!$C$3,IF('امتیاز دهی خبرگان'!$K114=3,'طیف فازی'!$C$4,IF('امتیاز دهی خبرگان'!$K114=4,'طیف فازی'!$C$5,'طیف فازی'!$C$6)))))</f>
        <v>0.75</v>
      </c>
      <c r="AC114" s="19">
        <f>IF('امتیاز دهی خبرگان'!$K114=0,0,IF('امتیاز دهی خبرگان'!$K114=1,'طیف فازی'!$D$2,IF('امتیاز دهی خبرگان'!$K114=2,'طیف فازی'!$D$3,IF('امتیاز دهی خبرگان'!$K114=3,'طیف فازی'!$D$4,IF('امتیاز دهی خبرگان'!$K114=4,'طیف فازی'!$D$5,'طیف فازی'!$D$6)))))</f>
        <v>1</v>
      </c>
      <c r="AD114" s="17">
        <f>IF('امتیاز دهی خبرگان'!$L114=0,0,IF('امتیاز دهی خبرگان'!$L114=1,'طیف فازی'!$B$2,IF('امتیاز دهی خبرگان'!$L114=2,'طیف فازی'!$B$3,IF('امتیاز دهی خبرگان'!$L114=3,'طیف فازی'!$B$4,IF('امتیاز دهی خبرگان'!$L114=4,'طیف فازی'!$B$5,'طیف فازی'!$B$6)))))</f>
        <v>0.75</v>
      </c>
      <c r="AE114" s="18">
        <f>IF('امتیاز دهی خبرگان'!$L114=0,0,IF('امتیاز دهی خبرگان'!$L114=1,'طیف فازی'!$C$2,IF('امتیاز دهی خبرگان'!$L114=2,'طیف فازی'!$C$3,IF('امتیاز دهی خبرگان'!$L114=3,'طیف فازی'!$C$4,IF('امتیاز دهی خبرگان'!$L114=4,'طیف فازی'!$C$5,'طیف فازی'!$C$6)))))</f>
        <v>1</v>
      </c>
      <c r="AF114" s="19">
        <f>IF('امتیاز دهی خبرگان'!$L114=0,0,IF('امتیاز دهی خبرگان'!$L114=1,'طیف فازی'!$D$2,IF('امتیاز دهی خبرگان'!$L114=2,'طیف فازی'!$D$3,IF('امتیاز دهی خبرگان'!$L114=3,'طیف فازی'!$D$4,IF('امتیاز دهی خبرگان'!$L114=4,'طیف فازی'!$D$5,'طیف فازی'!$D$6)))))</f>
        <v>1</v>
      </c>
      <c r="AG114" s="17">
        <f>IF('امتیاز دهی خبرگان'!$M114=0,0,IF('امتیاز دهی خبرگان'!$M114=1,'طیف فازی'!$B$2,IF('امتیاز دهی خبرگان'!$M114=2,'طیف فازی'!$B$3,IF('امتیاز دهی خبرگان'!$M114=3,'طیف فازی'!$B$4,IF('امتیاز دهی خبرگان'!$M114=4,'طیف فازی'!$B$5,'طیف فازی'!$B$6)))))</f>
        <v>0.5</v>
      </c>
      <c r="AH114" s="18">
        <f>IF('امتیاز دهی خبرگان'!$M114=0,0,IF('امتیاز دهی خبرگان'!$M114=1,'طیف فازی'!$C$2,IF('امتیاز دهی خبرگان'!$M114=2,'طیف فازی'!$C$3,IF('امتیاز دهی خبرگان'!$M114=3,'طیف فازی'!$C$4,IF('امتیاز دهی خبرگان'!$M114=4,'طیف فازی'!$C$5,'طیف فازی'!$C$6)))))</f>
        <v>0.75</v>
      </c>
      <c r="AI114" s="19">
        <f>IF('امتیاز دهی خبرگان'!$M114=0,0,IF('امتیاز دهی خبرگان'!$M114=1,'طیف فازی'!$D$2,IF('امتیاز دهی خبرگان'!$M114=2,'طیف فازی'!$D$3,IF('امتیاز دهی خبرگان'!$M114=3,'طیف فازی'!$D$4,IF('امتیاز دهی خبرگان'!$M114=4,'طیف فازی'!$D$5,'طیف فازی'!$D$6)))))</f>
        <v>1</v>
      </c>
      <c r="AJ114" s="17">
        <f>IF('امتیاز دهی خبرگان'!$N114=0,0,IF('امتیاز دهی خبرگان'!$N114=1,'طیف فازی'!$B$2,IF('امتیاز دهی خبرگان'!$N114=2,'طیف فازی'!$B$3,IF('امتیاز دهی خبرگان'!$N114=3,'طیف فازی'!$B$4,IF('امتیاز دهی خبرگان'!$N114=4,'طیف فازی'!$B$5,'طیف فازی'!$B$6)))))</f>
        <v>0.5</v>
      </c>
      <c r="AK114" s="18">
        <f>IF('امتیاز دهی خبرگان'!$N114=0,0,IF('امتیاز دهی خبرگان'!$N114=1,'طیف فازی'!$C$2,IF('امتیاز دهی خبرگان'!$N114=2,'طیف فازی'!$C$3,IF('امتیاز دهی خبرگان'!$N114=3,'طیف فازی'!$C$4,IF('امتیاز دهی خبرگان'!$N114=4,'طیف فازی'!$C$5,'طیف فازی'!$C$6)))))</f>
        <v>0.75</v>
      </c>
      <c r="AL114" s="19">
        <f>IF('امتیاز دهی خبرگان'!$N114=0,0,IF('امتیاز دهی خبرگان'!$N114=1,'طیف فازی'!$D$2,IF('امتیاز دهی خبرگان'!$N114=2,'طیف فازی'!$D$3,IF('امتیاز دهی خبرگان'!$N114=3,'طیف فازی'!$D$4,IF('امتیاز دهی خبرگان'!$N114=4,'طیف فازی'!$D$5,'طیف فازی'!$D$6)))))</f>
        <v>1</v>
      </c>
      <c r="AM114" s="23">
        <f t="shared" si="9"/>
        <v>6.5</v>
      </c>
      <c r="AN114" s="23">
        <f t="shared" si="10"/>
        <v>9.5</v>
      </c>
      <c r="AO114" s="24">
        <f t="shared" si="11"/>
        <v>11.25</v>
      </c>
      <c r="AP114" s="25">
        <f t="shared" si="12"/>
        <v>0.54166666666666663</v>
      </c>
      <c r="AQ114" s="23">
        <f t="shared" si="13"/>
        <v>0.79166666666666663</v>
      </c>
      <c r="AR114" s="24">
        <f t="shared" si="14"/>
        <v>0.9375</v>
      </c>
      <c r="AS114" s="24">
        <f t="shared" si="15"/>
        <v>0.75694444444444431</v>
      </c>
      <c r="AT114" s="24" t="str">
        <f t="shared" si="16"/>
        <v>Pass</v>
      </c>
    </row>
    <row r="115" spans="2:46" ht="23.25" customHeight="1" thickBot="1" x14ac:dyDescent="0.85">
      <c r="B115" s="2">
        <v>111</v>
      </c>
      <c r="C115" s="17">
        <f>IF('امتیاز دهی خبرگان'!$C115=0,0,IF('امتیاز دهی خبرگان'!$C115=1,'طیف فازی'!$B$2,IF('امتیاز دهی خبرگان'!$C115=2,'طیف فازی'!$B$3,IF('امتیاز دهی خبرگان'!$C115=3,'طیف فازی'!$B$4,IF('امتیاز دهی خبرگان'!$C115=4,'طیف فازی'!$B$5,'طیف فازی'!$B$6)))))</f>
        <v>0.75</v>
      </c>
      <c r="D115" s="18">
        <f>IF('امتیاز دهی خبرگان'!$C115=0,0,IF('امتیاز دهی خبرگان'!$C115=1,'طیف فازی'!$C$2,IF('امتیاز دهی خبرگان'!$C115=2,'طیف فازی'!$C$3,IF('امتیاز دهی خبرگان'!$C115=3,'طیف فازی'!$C$4,IF('امتیاز دهی خبرگان'!$C115=4,'طیف فازی'!$C$5,'طیف فازی'!$C$6)))))</f>
        <v>1</v>
      </c>
      <c r="E115" s="19">
        <f>IF('امتیاز دهی خبرگان'!$C115=0,0,IF('امتیاز دهی خبرگان'!$C115=1,'طیف فازی'!$D$2,IF('امتیاز دهی خبرگان'!$C115=2,'طیف فازی'!$D$3,IF('امتیاز دهی خبرگان'!$C115=3,'طیف فازی'!$D$4,IF('امتیاز دهی خبرگان'!$C115=4,'طیف فازی'!$D$5,'طیف فازی'!$D$6)))))</f>
        <v>1</v>
      </c>
      <c r="F115" s="20">
        <f>IF('امتیاز دهی خبرگان'!$D115=0,0,IF('امتیاز دهی خبرگان'!$D115=1,'طیف فازی'!$B$2,IF('امتیاز دهی خبرگان'!$D115=2,'طیف فازی'!$B$3,IF('امتیاز دهی خبرگان'!$D115=3,'طیف فازی'!$B$4,IF('امتیاز دهی خبرگان'!$D115=4,'طیف فازی'!$B$5,'طیف فازی'!$B$6)))))</f>
        <v>0.5</v>
      </c>
      <c r="G115" s="21">
        <f>IF('امتیاز دهی خبرگان'!$D115=0,0,IF('امتیاز دهی خبرگان'!$D115=1,'طیف فازی'!$D$2,IF('امتیاز دهی خبرگان'!$D115=2,'طیف فازی'!$C$3,IF('امتیاز دهی خبرگان'!$D115=3,'طیف فازی'!$C$4,IF('امتیاز دهی خبرگان'!$D115=4,'طیف فازی'!$C$5,'طیف فازی'!$C$6)))))</f>
        <v>0.75</v>
      </c>
      <c r="H115" s="22">
        <f>IF('امتیاز دهی خبرگان'!$D115=0,0,IF('امتیاز دهی خبرگان'!$D115=1,'طیف فازی'!$D$2,IF('امتیاز دهی خبرگان'!$D115=2,'طیف فازی'!$D$3,IF('امتیاز دهی خبرگان'!$D115=3,'طیف فازی'!$D$4,IF('امتیاز دهی خبرگان'!$D115=4,'طیف فازی'!$D$5,'طیف فازی'!$D$6)))))</f>
        <v>1</v>
      </c>
      <c r="I115" s="17">
        <f>IF('امتیاز دهی خبرگان'!$E115=0,0,IF('امتیاز دهی خبرگان'!$E115=1,'طیف فازی'!$B$2,IF('امتیاز دهی خبرگان'!$E115=2,'طیف فازی'!$B$3,IF('امتیاز دهی خبرگان'!$E115=3,'طیف فازی'!$B$4,IF('امتیاز دهی خبرگان'!$E115=4,'طیف فازی'!$B$5,'طیف فازی'!$B$6)))))</f>
        <v>0.25</v>
      </c>
      <c r="J115" s="18">
        <f>IF('امتیاز دهی خبرگان'!$E115=0,0,IF('امتیاز دهی خبرگان'!$E115=1,'طیف فازی'!$C$2,IF('امتیاز دهی خبرگان'!$E115=2,'طیف فازی'!$C$3,IF('امتیاز دهی خبرگان'!$E115=3,'طیف فازی'!$C$4,IF('امتیاز دهی خبرگان'!$E115=4,'طیف فازی'!$C$5,'طیف فازی'!$C$6)))))</f>
        <v>0.5</v>
      </c>
      <c r="K115" s="19">
        <f>IF('امتیاز دهی خبرگان'!$E115=0,0,IF('امتیاز دهی خبرگان'!$E115=1,'طیف فازی'!$D$2,IF('امتیاز دهی خبرگان'!$E115=2,'طیف فازی'!$D$3,IF('امتیاز دهی خبرگان'!$E115=3,'طیف فازی'!$D$4,IF('امتیاز دهی خبرگان'!$E115=4,'طیف فازی'!$D$5,'طیف فازی'!$D$6)))))</f>
        <v>0.75</v>
      </c>
      <c r="L115" s="17">
        <f>IF('امتیاز دهی خبرگان'!$F115=0,0,IF('امتیاز دهی خبرگان'!$F115=1,'طیف فازی'!$B$2,IF('امتیاز دهی خبرگان'!$F115=2,'طیف فازی'!$B$3,IF('امتیاز دهی خبرگان'!$F115=3,'طیف فازی'!$B$4,IF('امتیاز دهی خبرگان'!$F115=4,'طیف فازی'!$B$5,'طیف فازی'!$B$6)))))</f>
        <v>0.75</v>
      </c>
      <c r="M115" s="18">
        <f>IF('امتیاز دهی خبرگان'!$F115=0,0,IF('امتیاز دهی خبرگان'!$F115=1,'طیف فازی'!$C$2,IF('امتیاز دهی خبرگان'!$F115=2,'طیف فازی'!$C$3,IF('امتیاز دهی خبرگان'!$F115=3,'طیف فازی'!$C$4,IF('امتیاز دهی خبرگان'!$F115=4,'طیف فازی'!$C$5,'طیف فازی'!$C$6)))))</f>
        <v>1</v>
      </c>
      <c r="N115" s="19">
        <f>IF('امتیاز دهی خبرگان'!$F115=0,0,IF('امتیاز دهی خبرگان'!$F115=1,'طیف فازی'!$D$2,IF('امتیاز دهی خبرگان'!$F115=2,'طیف فازی'!$D$3,IF('امتیاز دهی خبرگان'!$F115=3,'طیف فازی'!$D$4,IF('امتیاز دهی خبرگان'!$F115=4,'طیف فازی'!$D$5,'طیف فازی'!$D$6)))))</f>
        <v>1</v>
      </c>
      <c r="O115" s="17">
        <f>IF('امتیاز دهی خبرگان'!$G115=0,0,IF('امتیاز دهی خبرگان'!$G115=1,'طیف فازی'!$B$2,IF('امتیاز دهی خبرگان'!$G115=2,'طیف فازی'!$B$3,IF('امتیاز دهی خبرگان'!$G115=3,'طیف فازی'!$B$4,IF('امتیاز دهی خبرگان'!$G115=4,'طیف فازی'!$B$5,'طیف فازی'!$B$6)))))</f>
        <v>0.5</v>
      </c>
      <c r="P115" s="18">
        <f>IF('امتیاز دهی خبرگان'!$G115=0,0,IF('امتیاز دهی خبرگان'!$G115=1,'طیف فازی'!$C$2,IF('امتیاز دهی خبرگان'!$G115=2,'طیف فازی'!$C$3,IF('امتیاز دهی خبرگان'!$G115=3,'طیف فازی'!$C$4,IF('امتیاز دهی خبرگان'!$G115=4,'طیف فازی'!$C$5,'طیف فازی'!$C$6)))))</f>
        <v>0.75</v>
      </c>
      <c r="Q115" s="19">
        <f>IF('امتیاز دهی خبرگان'!$G115=0,0,IF('امتیاز دهی خبرگان'!$G115=1,'طیف فازی'!$D$2,IF('امتیاز دهی خبرگان'!$G115=2,'طیف فازی'!$D$3,IF('امتیاز دهی خبرگان'!$G115=3,'طیف فازی'!$D$4,IF('امتیاز دهی خبرگان'!$G115=4,'طیف فازی'!$D$5,'طیف فازی'!$D$6)))))</f>
        <v>1</v>
      </c>
      <c r="R115" s="17">
        <f>IF('امتیاز دهی خبرگان'!$H115=0,0,IF('امتیاز دهی خبرگان'!$H115=1,'طیف فازی'!$B$2,IF('امتیاز دهی خبرگان'!$H115=2,'طیف فازی'!$B$3,IF('امتیاز دهی خبرگان'!$H115=3,'طیف فازی'!$B$4,IF('امتیاز دهی خبرگان'!$H115=4,'طیف فازی'!$B$5,'طیف فازی'!$B$6)))))</f>
        <v>0.25</v>
      </c>
      <c r="S115" s="18">
        <f>IF('امتیاز دهی خبرگان'!$H115=0,0,IF('امتیاز دهی خبرگان'!$H115=1,'طیف فازی'!$C$2,IF('امتیاز دهی خبرگان'!$H115=2,'طیف فازی'!$C$3,IF('امتیاز دهی خبرگان'!$H115=3,'طیف فازی'!$C$4,IF('امتیاز دهی خبرگان'!$H115=4,'طیف فازی'!$C$5,'طیف فازی'!$C$6)))))</f>
        <v>0.5</v>
      </c>
      <c r="T115" s="19">
        <f>IF('امتیاز دهی خبرگان'!$H115=0,0,IF('امتیاز دهی خبرگان'!$H115=1,'طیف فازی'!$D$2,IF('امتیاز دهی خبرگان'!$H115=2,'طیف فازی'!$D$3,IF('امتیاز دهی خبرگان'!$H115=3,'طیف فازی'!$D$4,IF('امتیاز دهی خبرگان'!$H115=4,'طیف فازی'!$D$5,'طیف فازی'!$D$6)))))</f>
        <v>0.75</v>
      </c>
      <c r="U115" s="17">
        <f>IF('امتیاز دهی خبرگان'!$I115=0,0,IF('امتیاز دهی خبرگان'!$I115=1,'طیف فازی'!$B$2,IF('امتیاز دهی خبرگان'!$I115=2,'طیف فازی'!$B$3,IF('امتیاز دهی خبرگان'!$I115=3,'طیف فازی'!$B$4,IF('امتیاز دهی خبرگان'!$I115=4,'طیف فازی'!$B$5,'طیف فازی'!$B$6)))))</f>
        <v>0.5</v>
      </c>
      <c r="V115" s="18">
        <f>IF('امتیاز دهی خبرگان'!$I115=0,0,IF('امتیاز دهی خبرگان'!$I115=1,'طیف فازی'!$C$2,IF('امتیاز دهی خبرگان'!$I115=2,'طیف فازی'!$C$3,IF('امتیاز دهی خبرگان'!$I115=3,'طیف فازی'!$C$4,IF('امتیاز دهی خبرگان'!$I115=4,'طیف فازی'!$C$5,'طیف فازی'!$C$6)))))</f>
        <v>0.75</v>
      </c>
      <c r="W115" s="19">
        <f>IF('امتیاز دهی خبرگان'!$I115=0,0,IF('امتیاز دهی خبرگان'!$I115=1,'طیف فازی'!$D$2,IF('امتیاز دهی خبرگان'!$I115=2,'طیف فازی'!$D$3,IF('امتیاز دهی خبرگان'!$I115=3,'طیف فازی'!$D$4,IF('امتیاز دهی خبرگان'!$I115=4,'طیف فازی'!$D$5,'طیف فازی'!$D$6)))))</f>
        <v>1</v>
      </c>
      <c r="X115" s="17">
        <f>IF('امتیاز دهی خبرگان'!$J115=0,0,IF('امتیاز دهی خبرگان'!$J115=1,'طیف فازی'!$B$2,IF('امتیاز دهی خبرگان'!$J115=2,'طیف فازی'!$B$3,IF('امتیاز دهی خبرگان'!$J115=3,'طیف فازی'!$B$4,IF('امتیاز دهی خبرگان'!$J115=4,'طیف فازی'!$B$5,'طیف فازی'!$B$6)))))</f>
        <v>0.5</v>
      </c>
      <c r="Y115" s="18">
        <f>IF('امتیاز دهی خبرگان'!$J115=0,0,IF('امتیاز دهی خبرگان'!$J115=1,'طیف فازی'!$C$2,IF('امتیاز دهی خبرگان'!$J115=2,'طیف فازی'!$C$3,IF('امتیاز دهی خبرگان'!$J115=3,'طیف فازی'!$C$4,IF('امتیاز دهی خبرگان'!$J115=4,'طیف فازی'!$C$5,'طیف فازی'!$C$6)))))</f>
        <v>0.75</v>
      </c>
      <c r="Z115" s="19">
        <f>IF('امتیاز دهی خبرگان'!$J115=0,0,IF('امتیاز دهی خبرگان'!$J115=1,'طیف فازی'!$D$2,IF('امتیاز دهی خبرگان'!$J115=2,'طیف فازی'!$D$3,IF('امتیاز دهی خبرگان'!$J115=3,'طیف فازی'!$D$4,IF('امتیاز دهی خبرگان'!$J115=4,'طیف فازی'!$D$5,'طیف فازی'!$D$6)))))</f>
        <v>1</v>
      </c>
      <c r="AA115" s="17">
        <f>IF('امتیاز دهی خبرگان'!$K115=0,0,IF('امتیاز دهی خبرگان'!$K115=1,'طیف فازی'!$B$2,IF('امتیاز دهی خبرگان'!$K115=2,'طیف فازی'!$B$3,IF('امتیاز دهی خبرگان'!$K115=3,'طیف فازی'!$B$4,IF('امتیاز دهی خبرگان'!$K115=4,'طیف فازی'!$B$5,'طیف فازی'!$B$6)))))</f>
        <v>0.5</v>
      </c>
      <c r="AB115" s="18">
        <f>IF('امتیاز دهی خبرگان'!$K115=0,0,IF('امتیاز دهی خبرگان'!$K115=1,'طیف فازی'!$C$2,IF('امتیاز دهی خبرگان'!$K115=2,'طیف فازی'!$C$3,IF('امتیاز دهی خبرگان'!$K115=3,'طیف فازی'!$C$4,IF('امتیاز دهی خبرگان'!$K115=4,'طیف فازی'!$C$5,'طیف فازی'!$C$6)))))</f>
        <v>0.75</v>
      </c>
      <c r="AC115" s="19">
        <f>IF('امتیاز دهی خبرگان'!$K115=0,0,IF('امتیاز دهی خبرگان'!$K115=1,'طیف فازی'!$D$2,IF('امتیاز دهی خبرگان'!$K115=2,'طیف فازی'!$D$3,IF('امتیاز دهی خبرگان'!$K115=3,'طیف فازی'!$D$4,IF('امتیاز دهی خبرگان'!$K115=4,'طیف فازی'!$D$5,'طیف فازی'!$D$6)))))</f>
        <v>1</v>
      </c>
      <c r="AD115" s="17">
        <f>IF('امتیاز دهی خبرگان'!$L115=0,0,IF('امتیاز دهی خبرگان'!$L115=1,'طیف فازی'!$B$2,IF('امتیاز دهی خبرگان'!$L115=2,'طیف فازی'!$B$3,IF('امتیاز دهی خبرگان'!$L115=3,'طیف فازی'!$B$4,IF('امتیاز دهی خبرگان'!$L115=4,'طیف فازی'!$B$5,'طیف فازی'!$B$6)))))</f>
        <v>0.5</v>
      </c>
      <c r="AE115" s="18">
        <f>IF('امتیاز دهی خبرگان'!$L115=0,0,IF('امتیاز دهی خبرگان'!$L115=1,'طیف فازی'!$C$2,IF('امتیاز دهی خبرگان'!$L115=2,'طیف فازی'!$C$3,IF('امتیاز دهی خبرگان'!$L115=3,'طیف فازی'!$C$4,IF('امتیاز دهی خبرگان'!$L115=4,'طیف فازی'!$C$5,'طیف فازی'!$C$6)))))</f>
        <v>0.75</v>
      </c>
      <c r="AF115" s="19">
        <f>IF('امتیاز دهی خبرگان'!$L115=0,0,IF('امتیاز دهی خبرگان'!$L115=1,'طیف فازی'!$D$2,IF('امتیاز دهی خبرگان'!$L115=2,'طیف فازی'!$D$3,IF('امتیاز دهی خبرگان'!$L115=3,'طیف فازی'!$D$4,IF('امتیاز دهی خبرگان'!$L115=4,'طیف فازی'!$D$5,'طیف فازی'!$D$6)))))</f>
        <v>1</v>
      </c>
      <c r="AG115" s="17">
        <f>IF('امتیاز دهی خبرگان'!$M115=0,0,IF('امتیاز دهی خبرگان'!$M115=1,'طیف فازی'!$B$2,IF('امتیاز دهی خبرگان'!$M115=2,'طیف فازی'!$B$3,IF('امتیاز دهی خبرگان'!$M115=3,'طیف فازی'!$B$4,IF('امتیاز دهی خبرگان'!$M115=4,'طیف فازی'!$B$5,'طیف فازی'!$B$6)))))</f>
        <v>0.75</v>
      </c>
      <c r="AH115" s="18">
        <f>IF('امتیاز دهی خبرگان'!$M115=0,0,IF('امتیاز دهی خبرگان'!$M115=1,'طیف فازی'!$C$2,IF('امتیاز دهی خبرگان'!$M115=2,'طیف فازی'!$C$3,IF('امتیاز دهی خبرگان'!$M115=3,'طیف فازی'!$C$4,IF('امتیاز دهی خبرگان'!$M115=4,'طیف فازی'!$C$5,'طیف فازی'!$C$6)))))</f>
        <v>1</v>
      </c>
      <c r="AI115" s="19">
        <f>IF('امتیاز دهی خبرگان'!$M115=0,0,IF('امتیاز دهی خبرگان'!$M115=1,'طیف فازی'!$D$2,IF('امتیاز دهی خبرگان'!$M115=2,'طیف فازی'!$D$3,IF('امتیاز دهی خبرگان'!$M115=3,'طیف فازی'!$D$4,IF('امتیاز دهی خبرگان'!$M115=4,'طیف فازی'!$D$5,'طیف فازی'!$D$6)))))</f>
        <v>1</v>
      </c>
      <c r="AJ115" s="17">
        <f>IF('امتیاز دهی خبرگان'!$N115=0,0,IF('امتیاز دهی خبرگان'!$N115=1,'طیف فازی'!$B$2,IF('امتیاز دهی خبرگان'!$N115=2,'طیف فازی'!$B$3,IF('امتیاز دهی خبرگان'!$N115=3,'طیف فازی'!$B$4,IF('امتیاز دهی خبرگان'!$N115=4,'طیف فازی'!$B$5,'طیف فازی'!$B$6)))))</f>
        <v>0.5</v>
      </c>
      <c r="AK115" s="18">
        <f>IF('امتیاز دهی خبرگان'!$N115=0,0,IF('امتیاز دهی خبرگان'!$N115=1,'طیف فازی'!$C$2,IF('امتیاز دهی خبرگان'!$N115=2,'طیف فازی'!$C$3,IF('امتیاز دهی خبرگان'!$N115=3,'طیف فازی'!$C$4,IF('امتیاز دهی خبرگان'!$N115=4,'طیف فازی'!$C$5,'طیف فازی'!$C$6)))))</f>
        <v>0.75</v>
      </c>
      <c r="AL115" s="19">
        <f>IF('امتیاز دهی خبرگان'!$N115=0,0,IF('امتیاز دهی خبرگان'!$N115=1,'طیف فازی'!$D$2,IF('امتیاز دهی خبرگان'!$N115=2,'طیف فازی'!$D$3,IF('امتیاز دهی خبرگان'!$N115=3,'طیف فازی'!$D$4,IF('امتیاز دهی خبرگان'!$N115=4,'طیف فازی'!$D$5,'طیف فازی'!$D$6)))))</f>
        <v>1</v>
      </c>
      <c r="AM115" s="23">
        <f t="shared" si="9"/>
        <v>6.25</v>
      </c>
      <c r="AN115" s="23">
        <f t="shared" si="10"/>
        <v>9.25</v>
      </c>
      <c r="AO115" s="24">
        <f t="shared" si="11"/>
        <v>11.5</v>
      </c>
      <c r="AP115" s="25">
        <f t="shared" si="12"/>
        <v>0.52083333333333337</v>
      </c>
      <c r="AQ115" s="23">
        <f t="shared" si="13"/>
        <v>0.77083333333333337</v>
      </c>
      <c r="AR115" s="24">
        <f t="shared" si="14"/>
        <v>0.95833333333333337</v>
      </c>
      <c r="AS115" s="24">
        <f t="shared" si="15"/>
        <v>0.75</v>
      </c>
      <c r="AT115" s="24" t="str">
        <f t="shared" si="16"/>
        <v>Pass</v>
      </c>
    </row>
    <row r="116" spans="2:46" ht="23.25" customHeight="1" thickBot="1" x14ac:dyDescent="0.85">
      <c r="B116" s="2">
        <v>112</v>
      </c>
      <c r="C116" s="17">
        <f>IF('امتیاز دهی خبرگان'!$C116=0,0,IF('امتیاز دهی خبرگان'!$C116=1,'طیف فازی'!$B$2,IF('امتیاز دهی خبرگان'!$C116=2,'طیف فازی'!$B$3,IF('امتیاز دهی خبرگان'!$C116=3,'طیف فازی'!$B$4,IF('امتیاز دهی خبرگان'!$C116=4,'طیف فازی'!$B$5,'طیف فازی'!$B$6)))))</f>
        <v>0.5</v>
      </c>
      <c r="D116" s="18">
        <f>IF('امتیاز دهی خبرگان'!$C116=0,0,IF('امتیاز دهی خبرگان'!$C116=1,'طیف فازی'!$C$2,IF('امتیاز دهی خبرگان'!$C116=2,'طیف فازی'!$C$3,IF('امتیاز دهی خبرگان'!$C116=3,'طیف فازی'!$C$4,IF('امتیاز دهی خبرگان'!$C116=4,'طیف فازی'!$C$5,'طیف فازی'!$C$6)))))</f>
        <v>0.75</v>
      </c>
      <c r="E116" s="19">
        <f>IF('امتیاز دهی خبرگان'!$C116=0,0,IF('امتیاز دهی خبرگان'!$C116=1,'طیف فازی'!$D$2,IF('امتیاز دهی خبرگان'!$C116=2,'طیف فازی'!$D$3,IF('امتیاز دهی خبرگان'!$C116=3,'طیف فازی'!$D$4,IF('امتیاز دهی خبرگان'!$C116=4,'طیف فازی'!$D$5,'طیف فازی'!$D$6)))))</f>
        <v>1</v>
      </c>
      <c r="F116" s="20">
        <f>IF('امتیاز دهی خبرگان'!$D116=0,0,IF('امتیاز دهی خبرگان'!$D116=1,'طیف فازی'!$B$2,IF('امتیاز دهی خبرگان'!$D116=2,'طیف فازی'!$B$3,IF('امتیاز دهی خبرگان'!$D116=3,'طیف فازی'!$B$4,IF('امتیاز دهی خبرگان'!$D116=4,'طیف فازی'!$B$5,'طیف فازی'!$B$6)))))</f>
        <v>0</v>
      </c>
      <c r="G116" s="21">
        <f>IF('امتیاز دهی خبرگان'!$D116=0,0,IF('امتیاز دهی خبرگان'!$D116=1,'طیف فازی'!$D$2,IF('امتیاز دهی خبرگان'!$D116=2,'طیف فازی'!$C$3,IF('امتیاز دهی خبرگان'!$D116=3,'طیف فازی'!$C$4,IF('امتیاز دهی خبرگان'!$D116=4,'طیف فازی'!$C$5,'طیف فازی'!$C$6)))))</f>
        <v>0.25</v>
      </c>
      <c r="H116" s="22">
        <f>IF('امتیاز دهی خبرگان'!$D116=0,0,IF('امتیاز دهی خبرگان'!$D116=1,'طیف فازی'!$D$2,IF('امتیاز دهی خبرگان'!$D116=2,'طیف فازی'!$D$3,IF('امتیاز دهی خبرگان'!$D116=3,'طیف فازی'!$D$4,IF('امتیاز دهی خبرگان'!$D116=4,'طیف فازی'!$D$5,'طیف فازی'!$D$6)))))</f>
        <v>0.5</v>
      </c>
      <c r="I116" s="17">
        <f>IF('امتیاز دهی خبرگان'!$E116=0,0,IF('امتیاز دهی خبرگان'!$E116=1,'طیف فازی'!$B$2,IF('امتیاز دهی خبرگان'!$E116=2,'طیف فازی'!$B$3,IF('امتیاز دهی خبرگان'!$E116=3,'طیف فازی'!$B$4,IF('امتیاز دهی خبرگان'!$E116=4,'طیف فازی'!$B$5,'طیف فازی'!$B$6)))))</f>
        <v>0</v>
      </c>
      <c r="J116" s="18">
        <f>IF('امتیاز دهی خبرگان'!$E116=0,0,IF('امتیاز دهی خبرگان'!$E116=1,'طیف فازی'!$C$2,IF('امتیاز دهی خبرگان'!$E116=2,'طیف فازی'!$C$3,IF('امتیاز دهی خبرگان'!$E116=3,'طیف فازی'!$C$4,IF('امتیاز دهی خبرگان'!$E116=4,'طیف فازی'!$C$5,'طیف فازی'!$C$6)))))</f>
        <v>0.25</v>
      </c>
      <c r="K116" s="19">
        <f>IF('امتیاز دهی خبرگان'!$E116=0,0,IF('امتیاز دهی خبرگان'!$E116=1,'طیف فازی'!$D$2,IF('امتیاز دهی خبرگان'!$E116=2,'طیف فازی'!$D$3,IF('امتیاز دهی خبرگان'!$E116=3,'طیف فازی'!$D$4,IF('امتیاز دهی خبرگان'!$E116=4,'طیف فازی'!$D$5,'طیف فازی'!$D$6)))))</f>
        <v>0.5</v>
      </c>
      <c r="L116" s="17">
        <f>IF('امتیاز دهی خبرگان'!$F116=0,0,IF('امتیاز دهی خبرگان'!$F116=1,'طیف فازی'!$B$2,IF('امتیاز دهی خبرگان'!$F116=2,'طیف فازی'!$B$3,IF('امتیاز دهی خبرگان'!$F116=3,'طیف فازی'!$B$4,IF('امتیاز دهی خبرگان'!$F116=4,'طیف فازی'!$B$5,'طیف فازی'!$B$6)))))</f>
        <v>0.75</v>
      </c>
      <c r="M116" s="18">
        <f>IF('امتیاز دهی خبرگان'!$F116=0,0,IF('امتیاز دهی خبرگان'!$F116=1,'طیف فازی'!$C$2,IF('امتیاز دهی خبرگان'!$F116=2,'طیف فازی'!$C$3,IF('امتیاز دهی خبرگان'!$F116=3,'طیف فازی'!$C$4,IF('امتیاز دهی خبرگان'!$F116=4,'طیف فازی'!$C$5,'طیف فازی'!$C$6)))))</f>
        <v>1</v>
      </c>
      <c r="N116" s="19">
        <f>IF('امتیاز دهی خبرگان'!$F116=0,0,IF('امتیاز دهی خبرگان'!$F116=1,'طیف فازی'!$D$2,IF('امتیاز دهی خبرگان'!$F116=2,'طیف فازی'!$D$3,IF('امتیاز دهی خبرگان'!$F116=3,'طیف فازی'!$D$4,IF('امتیاز دهی خبرگان'!$F116=4,'طیف فازی'!$D$5,'طیف فازی'!$D$6)))))</f>
        <v>1</v>
      </c>
      <c r="O116" s="17">
        <f>IF('امتیاز دهی خبرگان'!$G116=0,0,IF('امتیاز دهی خبرگان'!$G116=1,'طیف فازی'!$B$2,IF('امتیاز دهی خبرگان'!$G116=2,'طیف فازی'!$B$3,IF('امتیاز دهی خبرگان'!$G116=3,'طیف فازی'!$B$4,IF('امتیاز دهی خبرگان'!$G116=4,'طیف فازی'!$B$5,'طیف فازی'!$B$6)))))</f>
        <v>0.75</v>
      </c>
      <c r="P116" s="18">
        <f>IF('امتیاز دهی خبرگان'!$G116=0,0,IF('امتیاز دهی خبرگان'!$G116=1,'طیف فازی'!$C$2,IF('امتیاز دهی خبرگان'!$G116=2,'طیف فازی'!$C$3,IF('امتیاز دهی خبرگان'!$G116=3,'طیف فازی'!$C$4,IF('امتیاز دهی خبرگان'!$G116=4,'طیف فازی'!$C$5,'طیف فازی'!$C$6)))))</f>
        <v>1</v>
      </c>
      <c r="Q116" s="19">
        <f>IF('امتیاز دهی خبرگان'!$G116=0,0,IF('امتیاز دهی خبرگان'!$G116=1,'طیف فازی'!$D$2,IF('امتیاز دهی خبرگان'!$G116=2,'طیف فازی'!$D$3,IF('امتیاز دهی خبرگان'!$G116=3,'طیف فازی'!$D$4,IF('امتیاز دهی خبرگان'!$G116=4,'طیف فازی'!$D$5,'طیف فازی'!$D$6)))))</f>
        <v>1</v>
      </c>
      <c r="R116" s="17">
        <f>IF('امتیاز دهی خبرگان'!$H116=0,0,IF('امتیاز دهی خبرگان'!$H116=1,'طیف فازی'!$B$2,IF('امتیاز دهی خبرگان'!$H116=2,'طیف فازی'!$B$3,IF('امتیاز دهی خبرگان'!$H116=3,'طیف فازی'!$B$4,IF('امتیاز دهی خبرگان'!$H116=4,'طیف فازی'!$B$5,'طیف فازی'!$B$6)))))</f>
        <v>0.5</v>
      </c>
      <c r="S116" s="18">
        <f>IF('امتیاز دهی خبرگان'!$H116=0,0,IF('امتیاز دهی خبرگان'!$H116=1,'طیف فازی'!$C$2,IF('امتیاز دهی خبرگان'!$H116=2,'طیف فازی'!$C$3,IF('امتیاز دهی خبرگان'!$H116=3,'طیف فازی'!$C$4,IF('امتیاز دهی خبرگان'!$H116=4,'طیف فازی'!$C$5,'طیف فازی'!$C$6)))))</f>
        <v>0.75</v>
      </c>
      <c r="T116" s="19">
        <f>IF('امتیاز دهی خبرگان'!$H116=0,0,IF('امتیاز دهی خبرگان'!$H116=1,'طیف فازی'!$D$2,IF('امتیاز دهی خبرگان'!$H116=2,'طیف فازی'!$D$3,IF('امتیاز دهی خبرگان'!$H116=3,'طیف فازی'!$D$4,IF('امتیاز دهی خبرگان'!$H116=4,'طیف فازی'!$D$5,'طیف فازی'!$D$6)))))</f>
        <v>1</v>
      </c>
      <c r="U116" s="17">
        <f>IF('امتیاز دهی خبرگان'!$I116=0,0,IF('امتیاز دهی خبرگان'!$I116=1,'طیف فازی'!$B$2,IF('امتیاز دهی خبرگان'!$I116=2,'طیف فازی'!$B$3,IF('امتیاز دهی خبرگان'!$I116=3,'طیف فازی'!$B$4,IF('امتیاز دهی خبرگان'!$I116=4,'طیف فازی'!$B$5,'طیف فازی'!$B$6)))))</f>
        <v>0.75</v>
      </c>
      <c r="V116" s="18">
        <f>IF('امتیاز دهی خبرگان'!$I116=0,0,IF('امتیاز دهی خبرگان'!$I116=1,'طیف فازی'!$C$2,IF('امتیاز دهی خبرگان'!$I116=2,'طیف فازی'!$C$3,IF('امتیاز دهی خبرگان'!$I116=3,'طیف فازی'!$C$4,IF('امتیاز دهی خبرگان'!$I116=4,'طیف فازی'!$C$5,'طیف فازی'!$C$6)))))</f>
        <v>1</v>
      </c>
      <c r="W116" s="19">
        <f>IF('امتیاز دهی خبرگان'!$I116=0,0,IF('امتیاز دهی خبرگان'!$I116=1,'طیف فازی'!$D$2,IF('امتیاز دهی خبرگان'!$I116=2,'طیف فازی'!$D$3,IF('امتیاز دهی خبرگان'!$I116=3,'طیف فازی'!$D$4,IF('امتیاز دهی خبرگان'!$I116=4,'طیف فازی'!$D$5,'طیف فازی'!$D$6)))))</f>
        <v>1</v>
      </c>
      <c r="X116" s="17">
        <f>IF('امتیاز دهی خبرگان'!$J116=0,0,IF('امتیاز دهی خبرگان'!$J116=1,'طیف فازی'!$B$2,IF('امتیاز دهی خبرگان'!$J116=2,'طیف فازی'!$B$3,IF('امتیاز دهی خبرگان'!$J116=3,'طیف فازی'!$B$4,IF('امتیاز دهی خبرگان'!$J116=4,'طیف فازی'!$B$5,'طیف فازی'!$B$6)))))</f>
        <v>0.5</v>
      </c>
      <c r="Y116" s="18">
        <f>IF('امتیاز دهی خبرگان'!$J116=0,0,IF('امتیاز دهی خبرگان'!$J116=1,'طیف فازی'!$C$2,IF('امتیاز دهی خبرگان'!$J116=2,'طیف فازی'!$C$3,IF('امتیاز دهی خبرگان'!$J116=3,'طیف فازی'!$C$4,IF('امتیاز دهی خبرگان'!$J116=4,'طیف فازی'!$C$5,'طیف فازی'!$C$6)))))</f>
        <v>0.75</v>
      </c>
      <c r="Z116" s="19">
        <f>IF('امتیاز دهی خبرگان'!$J116=0,0,IF('امتیاز دهی خبرگان'!$J116=1,'طیف فازی'!$D$2,IF('امتیاز دهی خبرگان'!$J116=2,'طیف فازی'!$D$3,IF('امتیاز دهی خبرگان'!$J116=3,'طیف فازی'!$D$4,IF('امتیاز دهی خبرگان'!$J116=4,'طیف فازی'!$D$5,'طیف فازی'!$D$6)))))</f>
        <v>1</v>
      </c>
      <c r="AA116" s="17">
        <f>IF('امتیاز دهی خبرگان'!$K116=0,0,IF('امتیاز دهی خبرگان'!$K116=1,'طیف فازی'!$B$2,IF('امتیاز دهی خبرگان'!$K116=2,'طیف فازی'!$B$3,IF('امتیاز دهی خبرگان'!$K116=3,'طیف فازی'!$B$4,IF('امتیاز دهی خبرگان'!$K116=4,'طیف فازی'!$B$5,'طیف فازی'!$B$6)))))</f>
        <v>0.75</v>
      </c>
      <c r="AB116" s="18">
        <f>IF('امتیاز دهی خبرگان'!$K116=0,0,IF('امتیاز دهی خبرگان'!$K116=1,'طیف فازی'!$C$2,IF('امتیاز دهی خبرگان'!$K116=2,'طیف فازی'!$C$3,IF('امتیاز دهی خبرگان'!$K116=3,'طیف فازی'!$C$4,IF('امتیاز دهی خبرگان'!$K116=4,'طیف فازی'!$C$5,'طیف فازی'!$C$6)))))</f>
        <v>1</v>
      </c>
      <c r="AC116" s="19">
        <f>IF('امتیاز دهی خبرگان'!$K116=0,0,IF('امتیاز دهی خبرگان'!$K116=1,'طیف فازی'!$D$2,IF('امتیاز دهی خبرگان'!$K116=2,'طیف فازی'!$D$3,IF('امتیاز دهی خبرگان'!$K116=3,'طیف فازی'!$D$4,IF('امتیاز دهی خبرگان'!$K116=4,'طیف فازی'!$D$5,'طیف فازی'!$D$6)))))</f>
        <v>1</v>
      </c>
      <c r="AD116" s="17">
        <f>IF('امتیاز دهی خبرگان'!$L116=0,0,IF('امتیاز دهی خبرگان'!$L116=1,'طیف فازی'!$B$2,IF('امتیاز دهی خبرگان'!$L116=2,'طیف فازی'!$B$3,IF('امتیاز دهی خبرگان'!$L116=3,'طیف فازی'!$B$4,IF('امتیاز دهی خبرگان'!$L116=4,'طیف فازی'!$B$5,'طیف فازی'!$B$6)))))</f>
        <v>0.75</v>
      </c>
      <c r="AE116" s="18">
        <f>IF('امتیاز دهی خبرگان'!$L116=0,0,IF('امتیاز دهی خبرگان'!$L116=1,'طیف فازی'!$C$2,IF('امتیاز دهی خبرگان'!$L116=2,'طیف فازی'!$C$3,IF('امتیاز دهی خبرگان'!$L116=3,'طیف فازی'!$C$4,IF('امتیاز دهی خبرگان'!$L116=4,'طیف فازی'!$C$5,'طیف فازی'!$C$6)))))</f>
        <v>1</v>
      </c>
      <c r="AF116" s="19">
        <f>IF('امتیاز دهی خبرگان'!$L116=0,0,IF('امتیاز دهی خبرگان'!$L116=1,'طیف فازی'!$D$2,IF('امتیاز دهی خبرگان'!$L116=2,'طیف فازی'!$D$3,IF('امتیاز دهی خبرگان'!$L116=3,'طیف فازی'!$D$4,IF('امتیاز دهی خبرگان'!$L116=4,'طیف فازی'!$D$5,'طیف فازی'!$D$6)))))</f>
        <v>1</v>
      </c>
      <c r="AG116" s="17">
        <f>IF('امتیاز دهی خبرگان'!$M116=0,0,IF('امتیاز دهی خبرگان'!$M116=1,'طیف فازی'!$B$2,IF('امتیاز دهی خبرگان'!$M116=2,'طیف فازی'!$B$3,IF('امتیاز دهی خبرگان'!$M116=3,'طیف فازی'!$B$4,IF('امتیاز دهی خبرگان'!$M116=4,'طیف فازی'!$B$5,'طیف فازی'!$B$6)))))</f>
        <v>0.75</v>
      </c>
      <c r="AH116" s="18">
        <f>IF('امتیاز دهی خبرگان'!$M116=0,0,IF('امتیاز دهی خبرگان'!$M116=1,'طیف فازی'!$C$2,IF('امتیاز دهی خبرگان'!$M116=2,'طیف فازی'!$C$3,IF('امتیاز دهی خبرگان'!$M116=3,'طیف فازی'!$C$4,IF('امتیاز دهی خبرگان'!$M116=4,'طیف فازی'!$C$5,'طیف فازی'!$C$6)))))</f>
        <v>1</v>
      </c>
      <c r="AI116" s="19">
        <f>IF('امتیاز دهی خبرگان'!$M116=0,0,IF('امتیاز دهی خبرگان'!$M116=1,'طیف فازی'!$D$2,IF('امتیاز دهی خبرگان'!$M116=2,'طیف فازی'!$D$3,IF('امتیاز دهی خبرگان'!$M116=3,'طیف فازی'!$D$4,IF('امتیاز دهی خبرگان'!$M116=4,'طیف فازی'!$D$5,'طیف فازی'!$D$6)))))</f>
        <v>1</v>
      </c>
      <c r="AJ116" s="17">
        <f>IF('امتیاز دهی خبرگان'!$N116=0,0,IF('امتیاز دهی خبرگان'!$N116=1,'طیف فازی'!$B$2,IF('امتیاز دهی خبرگان'!$N116=2,'طیف فازی'!$B$3,IF('امتیاز دهی خبرگان'!$N116=3,'طیف فازی'!$B$4,IF('امتیاز دهی خبرگان'!$N116=4,'طیف فازی'!$B$5,'طیف فازی'!$B$6)))))</f>
        <v>0.5</v>
      </c>
      <c r="AK116" s="18">
        <f>IF('امتیاز دهی خبرگان'!$N116=0,0,IF('امتیاز دهی خبرگان'!$N116=1,'طیف فازی'!$C$2,IF('امتیاز دهی خبرگان'!$N116=2,'طیف فازی'!$C$3,IF('امتیاز دهی خبرگان'!$N116=3,'طیف فازی'!$C$4,IF('امتیاز دهی خبرگان'!$N116=4,'طیف فازی'!$C$5,'طیف فازی'!$C$6)))))</f>
        <v>0.75</v>
      </c>
      <c r="AL116" s="19">
        <f>IF('امتیاز دهی خبرگان'!$N116=0,0,IF('امتیاز دهی خبرگان'!$N116=1,'طیف فازی'!$D$2,IF('امتیاز دهی خبرگان'!$N116=2,'طیف فازی'!$D$3,IF('امتیاز دهی خبرگان'!$N116=3,'طیف فازی'!$D$4,IF('امتیاز دهی خبرگان'!$N116=4,'طیف فازی'!$D$5,'طیف فازی'!$D$6)))))</f>
        <v>1</v>
      </c>
      <c r="AM116" s="23">
        <f t="shared" si="9"/>
        <v>6.5</v>
      </c>
      <c r="AN116" s="23">
        <f t="shared" si="10"/>
        <v>9.5</v>
      </c>
      <c r="AO116" s="24">
        <f t="shared" si="11"/>
        <v>11</v>
      </c>
      <c r="AP116" s="25">
        <f t="shared" si="12"/>
        <v>0.54166666666666663</v>
      </c>
      <c r="AQ116" s="23">
        <f t="shared" si="13"/>
        <v>0.79166666666666663</v>
      </c>
      <c r="AR116" s="24">
        <f t="shared" si="14"/>
        <v>0.91666666666666663</v>
      </c>
      <c r="AS116" s="24">
        <f t="shared" si="15"/>
        <v>0.75</v>
      </c>
      <c r="AT116" s="24" t="str">
        <f t="shared" si="16"/>
        <v>Pass</v>
      </c>
    </row>
    <row r="117" spans="2:46" ht="23.25" customHeight="1" thickBot="1" x14ac:dyDescent="0.85">
      <c r="B117" s="2">
        <v>113</v>
      </c>
      <c r="C117" s="17">
        <f>IF('امتیاز دهی خبرگان'!$C117=0,0,IF('امتیاز دهی خبرگان'!$C117=1,'طیف فازی'!$B$2,IF('امتیاز دهی خبرگان'!$C117=2,'طیف فازی'!$B$3,IF('امتیاز دهی خبرگان'!$C117=3,'طیف فازی'!$B$4,IF('امتیاز دهی خبرگان'!$C117=4,'طیف فازی'!$B$5,'طیف فازی'!$B$6)))))</f>
        <v>0.75</v>
      </c>
      <c r="D117" s="18">
        <f>IF('امتیاز دهی خبرگان'!$C117=0,0,IF('امتیاز دهی خبرگان'!$C117=1,'طیف فازی'!$C$2,IF('امتیاز دهی خبرگان'!$C117=2,'طیف فازی'!$C$3,IF('امتیاز دهی خبرگان'!$C117=3,'طیف فازی'!$C$4,IF('امتیاز دهی خبرگان'!$C117=4,'طیف فازی'!$C$5,'طیف فازی'!$C$6)))))</f>
        <v>1</v>
      </c>
      <c r="E117" s="19">
        <f>IF('امتیاز دهی خبرگان'!$C117=0,0,IF('امتیاز دهی خبرگان'!$C117=1,'طیف فازی'!$D$2,IF('امتیاز دهی خبرگان'!$C117=2,'طیف فازی'!$D$3,IF('امتیاز دهی خبرگان'!$C117=3,'طیف فازی'!$D$4,IF('امتیاز دهی خبرگان'!$C117=4,'طیف فازی'!$D$5,'طیف فازی'!$D$6)))))</f>
        <v>1</v>
      </c>
      <c r="F117" s="20">
        <f>IF('امتیاز دهی خبرگان'!$D117=0,0,IF('امتیاز دهی خبرگان'!$D117=1,'طیف فازی'!$B$2,IF('امتیاز دهی خبرگان'!$D117=2,'طیف فازی'!$B$3,IF('امتیاز دهی خبرگان'!$D117=3,'طیف فازی'!$B$4,IF('امتیاز دهی خبرگان'!$D117=4,'طیف فازی'!$B$5,'طیف فازی'!$B$6)))))</f>
        <v>0</v>
      </c>
      <c r="G117" s="21">
        <f>IF('امتیاز دهی خبرگان'!$D117=0,0,IF('امتیاز دهی خبرگان'!$D117=1,'طیف فازی'!$D$2,IF('امتیاز دهی خبرگان'!$D117=2,'طیف فازی'!$C$3,IF('امتیاز دهی خبرگان'!$D117=3,'طیف فازی'!$C$4,IF('امتیاز دهی خبرگان'!$D117=4,'طیف فازی'!$C$5,'طیف فازی'!$C$6)))))</f>
        <v>0.25</v>
      </c>
      <c r="H117" s="22">
        <f>IF('امتیاز دهی خبرگان'!$D117=0,0,IF('امتیاز دهی خبرگان'!$D117=1,'طیف فازی'!$D$2,IF('امتیاز دهی خبرگان'!$D117=2,'طیف فازی'!$D$3,IF('امتیاز دهی خبرگان'!$D117=3,'طیف فازی'!$D$4,IF('امتیاز دهی خبرگان'!$D117=4,'طیف فازی'!$D$5,'طیف فازی'!$D$6)))))</f>
        <v>0.25</v>
      </c>
      <c r="I117" s="17">
        <f>IF('امتیاز دهی خبرگان'!$E117=0,0,IF('امتیاز دهی خبرگان'!$E117=1,'طیف فازی'!$B$2,IF('امتیاز دهی خبرگان'!$E117=2,'طیف فازی'!$B$3,IF('امتیاز دهی خبرگان'!$E117=3,'طیف فازی'!$B$4,IF('امتیاز دهی خبرگان'!$E117=4,'طیف فازی'!$B$5,'طیف فازی'!$B$6)))))</f>
        <v>0.5</v>
      </c>
      <c r="J117" s="18">
        <f>IF('امتیاز دهی خبرگان'!$E117=0,0,IF('امتیاز دهی خبرگان'!$E117=1,'طیف فازی'!$C$2,IF('امتیاز دهی خبرگان'!$E117=2,'طیف فازی'!$C$3,IF('امتیاز دهی خبرگان'!$E117=3,'طیف فازی'!$C$4,IF('امتیاز دهی خبرگان'!$E117=4,'طیف فازی'!$C$5,'طیف فازی'!$C$6)))))</f>
        <v>0.75</v>
      </c>
      <c r="K117" s="19">
        <f>IF('امتیاز دهی خبرگان'!$E117=0,0,IF('امتیاز دهی خبرگان'!$E117=1,'طیف فازی'!$D$2,IF('امتیاز دهی خبرگان'!$E117=2,'طیف فازی'!$D$3,IF('امتیاز دهی خبرگان'!$E117=3,'طیف فازی'!$D$4,IF('امتیاز دهی خبرگان'!$E117=4,'طیف فازی'!$D$5,'طیف فازی'!$D$6)))))</f>
        <v>1</v>
      </c>
      <c r="L117" s="17">
        <f>IF('امتیاز دهی خبرگان'!$F117=0,0,IF('امتیاز دهی خبرگان'!$F117=1,'طیف فازی'!$B$2,IF('امتیاز دهی خبرگان'!$F117=2,'طیف فازی'!$B$3,IF('امتیاز دهی خبرگان'!$F117=3,'طیف فازی'!$B$4,IF('امتیاز دهی خبرگان'!$F117=4,'طیف فازی'!$B$5,'طیف فازی'!$B$6)))))</f>
        <v>0.75</v>
      </c>
      <c r="M117" s="18">
        <f>IF('امتیاز دهی خبرگان'!$F117=0,0,IF('امتیاز دهی خبرگان'!$F117=1,'طیف فازی'!$C$2,IF('امتیاز دهی خبرگان'!$F117=2,'طیف فازی'!$C$3,IF('امتیاز دهی خبرگان'!$F117=3,'طیف فازی'!$C$4,IF('امتیاز دهی خبرگان'!$F117=4,'طیف فازی'!$C$5,'طیف فازی'!$C$6)))))</f>
        <v>1</v>
      </c>
      <c r="N117" s="19">
        <f>IF('امتیاز دهی خبرگان'!$F117=0,0,IF('امتیاز دهی خبرگان'!$F117=1,'طیف فازی'!$D$2,IF('امتیاز دهی خبرگان'!$F117=2,'طیف فازی'!$D$3,IF('امتیاز دهی خبرگان'!$F117=3,'طیف فازی'!$D$4,IF('امتیاز دهی خبرگان'!$F117=4,'طیف فازی'!$D$5,'طیف فازی'!$D$6)))))</f>
        <v>1</v>
      </c>
      <c r="O117" s="17">
        <f>IF('امتیاز دهی خبرگان'!$G117=0,0,IF('امتیاز دهی خبرگان'!$G117=1,'طیف فازی'!$B$2,IF('امتیاز دهی خبرگان'!$G117=2,'طیف فازی'!$B$3,IF('امتیاز دهی خبرگان'!$G117=3,'طیف فازی'!$B$4,IF('امتیاز دهی خبرگان'!$G117=4,'طیف فازی'!$B$5,'طیف فازی'!$B$6)))))</f>
        <v>0.75</v>
      </c>
      <c r="P117" s="18">
        <f>IF('امتیاز دهی خبرگان'!$G117=0,0,IF('امتیاز دهی خبرگان'!$G117=1,'طیف فازی'!$C$2,IF('امتیاز دهی خبرگان'!$G117=2,'طیف فازی'!$C$3,IF('امتیاز دهی خبرگان'!$G117=3,'طیف فازی'!$C$4,IF('امتیاز دهی خبرگان'!$G117=4,'طیف فازی'!$C$5,'طیف فازی'!$C$6)))))</f>
        <v>1</v>
      </c>
      <c r="Q117" s="19">
        <f>IF('امتیاز دهی خبرگان'!$G117=0,0,IF('امتیاز دهی خبرگان'!$G117=1,'طیف فازی'!$D$2,IF('امتیاز دهی خبرگان'!$G117=2,'طیف فازی'!$D$3,IF('امتیاز دهی خبرگان'!$G117=3,'طیف فازی'!$D$4,IF('امتیاز دهی خبرگان'!$G117=4,'طیف فازی'!$D$5,'طیف فازی'!$D$6)))))</f>
        <v>1</v>
      </c>
      <c r="R117" s="17">
        <f>IF('امتیاز دهی خبرگان'!$H117=0,0,IF('امتیاز دهی خبرگان'!$H117=1,'طیف فازی'!$B$2,IF('امتیاز دهی خبرگان'!$H117=2,'طیف فازی'!$B$3,IF('امتیاز دهی خبرگان'!$H117=3,'طیف فازی'!$B$4,IF('امتیاز دهی خبرگان'!$H117=4,'طیف فازی'!$B$5,'طیف فازی'!$B$6)))))</f>
        <v>0.75</v>
      </c>
      <c r="S117" s="18">
        <f>IF('امتیاز دهی خبرگان'!$H117=0,0,IF('امتیاز دهی خبرگان'!$H117=1,'طیف فازی'!$C$2,IF('امتیاز دهی خبرگان'!$H117=2,'طیف فازی'!$C$3,IF('امتیاز دهی خبرگان'!$H117=3,'طیف فازی'!$C$4,IF('امتیاز دهی خبرگان'!$H117=4,'طیف فازی'!$C$5,'طیف فازی'!$C$6)))))</f>
        <v>1</v>
      </c>
      <c r="T117" s="19">
        <f>IF('امتیاز دهی خبرگان'!$H117=0,0,IF('امتیاز دهی خبرگان'!$H117=1,'طیف فازی'!$D$2,IF('امتیاز دهی خبرگان'!$H117=2,'طیف فازی'!$D$3,IF('امتیاز دهی خبرگان'!$H117=3,'طیف فازی'!$D$4,IF('امتیاز دهی خبرگان'!$H117=4,'طیف فازی'!$D$5,'طیف فازی'!$D$6)))))</f>
        <v>1</v>
      </c>
      <c r="U117" s="17">
        <f>IF('امتیاز دهی خبرگان'!$I117=0,0,IF('امتیاز دهی خبرگان'!$I117=1,'طیف فازی'!$B$2,IF('امتیاز دهی خبرگان'!$I117=2,'طیف فازی'!$B$3,IF('امتیاز دهی خبرگان'!$I117=3,'طیف فازی'!$B$4,IF('امتیاز دهی خبرگان'!$I117=4,'طیف فازی'!$B$5,'طیف فازی'!$B$6)))))</f>
        <v>0.75</v>
      </c>
      <c r="V117" s="18">
        <f>IF('امتیاز دهی خبرگان'!$I117=0,0,IF('امتیاز دهی خبرگان'!$I117=1,'طیف فازی'!$C$2,IF('امتیاز دهی خبرگان'!$I117=2,'طیف فازی'!$C$3,IF('امتیاز دهی خبرگان'!$I117=3,'طیف فازی'!$C$4,IF('امتیاز دهی خبرگان'!$I117=4,'طیف فازی'!$C$5,'طیف فازی'!$C$6)))))</f>
        <v>1</v>
      </c>
      <c r="W117" s="19">
        <f>IF('امتیاز دهی خبرگان'!$I117=0,0,IF('امتیاز دهی خبرگان'!$I117=1,'طیف فازی'!$D$2,IF('امتیاز دهی خبرگان'!$I117=2,'طیف فازی'!$D$3,IF('امتیاز دهی خبرگان'!$I117=3,'طیف فازی'!$D$4,IF('امتیاز دهی خبرگان'!$I117=4,'طیف فازی'!$D$5,'طیف فازی'!$D$6)))))</f>
        <v>1</v>
      </c>
      <c r="X117" s="17">
        <f>IF('امتیاز دهی خبرگان'!$J117=0,0,IF('امتیاز دهی خبرگان'!$J117=1,'طیف فازی'!$B$2,IF('امتیاز دهی خبرگان'!$J117=2,'طیف فازی'!$B$3,IF('امتیاز دهی خبرگان'!$J117=3,'طیف فازی'!$B$4,IF('امتیاز دهی خبرگان'!$J117=4,'طیف فازی'!$B$5,'طیف فازی'!$B$6)))))</f>
        <v>0.5</v>
      </c>
      <c r="Y117" s="18">
        <f>IF('امتیاز دهی خبرگان'!$J117=0,0,IF('امتیاز دهی خبرگان'!$J117=1,'طیف فازی'!$C$2,IF('امتیاز دهی خبرگان'!$J117=2,'طیف فازی'!$C$3,IF('امتیاز دهی خبرگان'!$J117=3,'طیف فازی'!$C$4,IF('امتیاز دهی خبرگان'!$J117=4,'طیف فازی'!$C$5,'طیف فازی'!$C$6)))))</f>
        <v>0.75</v>
      </c>
      <c r="Z117" s="19">
        <f>IF('امتیاز دهی خبرگان'!$J117=0,0,IF('امتیاز دهی خبرگان'!$J117=1,'طیف فازی'!$D$2,IF('امتیاز دهی خبرگان'!$J117=2,'طیف فازی'!$D$3,IF('امتیاز دهی خبرگان'!$J117=3,'طیف فازی'!$D$4,IF('امتیاز دهی خبرگان'!$J117=4,'طیف فازی'!$D$5,'طیف فازی'!$D$6)))))</f>
        <v>1</v>
      </c>
      <c r="AA117" s="17">
        <f>IF('امتیاز دهی خبرگان'!$K117=0,0,IF('امتیاز دهی خبرگان'!$K117=1,'طیف فازی'!$B$2,IF('امتیاز دهی خبرگان'!$K117=2,'طیف فازی'!$B$3,IF('امتیاز دهی خبرگان'!$K117=3,'طیف فازی'!$B$4,IF('امتیاز دهی خبرگان'!$K117=4,'طیف فازی'!$B$5,'طیف فازی'!$B$6)))))</f>
        <v>0.5</v>
      </c>
      <c r="AB117" s="18">
        <f>IF('امتیاز دهی خبرگان'!$K117=0,0,IF('امتیاز دهی خبرگان'!$K117=1,'طیف فازی'!$C$2,IF('امتیاز دهی خبرگان'!$K117=2,'طیف فازی'!$C$3,IF('امتیاز دهی خبرگان'!$K117=3,'طیف فازی'!$C$4,IF('امتیاز دهی خبرگان'!$K117=4,'طیف فازی'!$C$5,'طیف فازی'!$C$6)))))</f>
        <v>0.75</v>
      </c>
      <c r="AC117" s="19">
        <f>IF('امتیاز دهی خبرگان'!$K117=0,0,IF('امتیاز دهی خبرگان'!$K117=1,'طیف فازی'!$D$2,IF('امتیاز دهی خبرگان'!$K117=2,'طیف فازی'!$D$3,IF('امتیاز دهی خبرگان'!$K117=3,'طیف فازی'!$D$4,IF('امتیاز دهی خبرگان'!$K117=4,'طیف فازی'!$D$5,'طیف فازی'!$D$6)))))</f>
        <v>1</v>
      </c>
      <c r="AD117" s="17">
        <f>IF('امتیاز دهی خبرگان'!$L117=0,0,IF('امتیاز دهی خبرگان'!$L117=1,'طیف فازی'!$B$2,IF('امتیاز دهی خبرگان'!$L117=2,'طیف فازی'!$B$3,IF('امتیاز دهی خبرگان'!$L117=3,'طیف فازی'!$B$4,IF('امتیاز دهی خبرگان'!$L117=4,'طیف فازی'!$B$5,'طیف فازی'!$B$6)))))</f>
        <v>0.75</v>
      </c>
      <c r="AE117" s="18">
        <f>IF('امتیاز دهی خبرگان'!$L117=0,0,IF('امتیاز دهی خبرگان'!$L117=1,'طیف فازی'!$C$2,IF('امتیاز دهی خبرگان'!$L117=2,'طیف فازی'!$C$3,IF('امتیاز دهی خبرگان'!$L117=3,'طیف فازی'!$C$4,IF('امتیاز دهی خبرگان'!$L117=4,'طیف فازی'!$C$5,'طیف فازی'!$C$6)))))</f>
        <v>1</v>
      </c>
      <c r="AF117" s="19">
        <f>IF('امتیاز دهی خبرگان'!$L117=0,0,IF('امتیاز دهی خبرگان'!$L117=1,'طیف فازی'!$D$2,IF('امتیاز دهی خبرگان'!$L117=2,'طیف فازی'!$D$3,IF('امتیاز دهی خبرگان'!$L117=3,'طیف فازی'!$D$4,IF('امتیاز دهی خبرگان'!$L117=4,'طیف فازی'!$D$5,'طیف فازی'!$D$6)))))</f>
        <v>1</v>
      </c>
      <c r="AG117" s="17">
        <f>IF('امتیاز دهی خبرگان'!$M117=0,0,IF('امتیاز دهی خبرگان'!$M117=1,'طیف فازی'!$B$2,IF('امتیاز دهی خبرگان'!$M117=2,'طیف فازی'!$B$3,IF('امتیاز دهی خبرگان'!$M117=3,'طیف فازی'!$B$4,IF('امتیاز دهی خبرگان'!$M117=4,'طیف فازی'!$B$5,'طیف فازی'!$B$6)))))</f>
        <v>0.5</v>
      </c>
      <c r="AH117" s="18">
        <f>IF('امتیاز دهی خبرگان'!$M117=0,0,IF('امتیاز دهی خبرگان'!$M117=1,'طیف فازی'!$C$2,IF('امتیاز دهی خبرگان'!$M117=2,'طیف فازی'!$C$3,IF('امتیاز دهی خبرگان'!$M117=3,'طیف فازی'!$C$4,IF('امتیاز دهی خبرگان'!$M117=4,'طیف فازی'!$C$5,'طیف فازی'!$C$6)))))</f>
        <v>0.75</v>
      </c>
      <c r="AI117" s="19">
        <f>IF('امتیاز دهی خبرگان'!$M117=0,0,IF('امتیاز دهی خبرگان'!$M117=1,'طیف فازی'!$D$2,IF('امتیاز دهی خبرگان'!$M117=2,'طیف فازی'!$D$3,IF('امتیاز دهی خبرگان'!$M117=3,'طیف فازی'!$D$4,IF('امتیاز دهی خبرگان'!$M117=4,'طیف فازی'!$D$5,'طیف فازی'!$D$6)))))</f>
        <v>1</v>
      </c>
      <c r="AJ117" s="17">
        <f>IF('امتیاز دهی خبرگان'!$N117=0,0,IF('امتیاز دهی خبرگان'!$N117=1,'طیف فازی'!$B$2,IF('امتیاز دهی خبرگان'!$N117=2,'طیف فازی'!$B$3,IF('امتیاز دهی خبرگان'!$N117=3,'طیف فازی'!$B$4,IF('امتیاز دهی خبرگان'!$N117=4,'طیف فازی'!$B$5,'طیف فازی'!$B$6)))))</f>
        <v>0.5</v>
      </c>
      <c r="AK117" s="18">
        <f>IF('امتیاز دهی خبرگان'!$N117=0,0,IF('امتیاز دهی خبرگان'!$N117=1,'طیف فازی'!$C$2,IF('امتیاز دهی خبرگان'!$N117=2,'طیف فازی'!$C$3,IF('امتیاز دهی خبرگان'!$N117=3,'طیف فازی'!$C$4,IF('امتیاز دهی خبرگان'!$N117=4,'طیف فازی'!$C$5,'طیف فازی'!$C$6)))))</f>
        <v>0.75</v>
      </c>
      <c r="AL117" s="19">
        <f>IF('امتیاز دهی خبرگان'!$N117=0,0,IF('امتیاز دهی خبرگان'!$N117=1,'طیف فازی'!$D$2,IF('امتیاز دهی خبرگان'!$N117=2,'طیف فازی'!$D$3,IF('امتیاز دهی خبرگان'!$N117=3,'طیف فازی'!$D$4,IF('امتیاز دهی خبرگان'!$N117=4,'طیف فازی'!$D$5,'طیف فازی'!$D$6)))))</f>
        <v>1</v>
      </c>
      <c r="AM117" s="23">
        <f t="shared" si="9"/>
        <v>7</v>
      </c>
      <c r="AN117" s="23">
        <f t="shared" si="10"/>
        <v>10</v>
      </c>
      <c r="AO117" s="24">
        <f t="shared" si="11"/>
        <v>11.25</v>
      </c>
      <c r="AP117" s="25">
        <f t="shared" si="12"/>
        <v>0.58333333333333337</v>
      </c>
      <c r="AQ117" s="23">
        <f t="shared" si="13"/>
        <v>0.83333333333333337</v>
      </c>
      <c r="AR117" s="24">
        <f t="shared" si="14"/>
        <v>0.9375</v>
      </c>
      <c r="AS117" s="24">
        <f t="shared" si="15"/>
        <v>0.78472222222222232</v>
      </c>
      <c r="AT117" s="24" t="str">
        <f t="shared" si="16"/>
        <v>Pass</v>
      </c>
    </row>
    <row r="118" spans="2:46" ht="23.25" customHeight="1" thickBot="1" x14ac:dyDescent="0.85">
      <c r="B118" s="2">
        <v>114</v>
      </c>
      <c r="C118" s="17">
        <f>IF('امتیاز دهی خبرگان'!$C118=0,0,IF('امتیاز دهی خبرگان'!$C118=1,'طیف فازی'!$B$2,IF('امتیاز دهی خبرگان'!$C118=2,'طیف فازی'!$B$3,IF('امتیاز دهی خبرگان'!$C118=3,'طیف فازی'!$B$4,IF('امتیاز دهی خبرگان'!$C118=4,'طیف فازی'!$B$5,'طیف فازی'!$B$6)))))</f>
        <v>0.75</v>
      </c>
      <c r="D118" s="18">
        <f>IF('امتیاز دهی خبرگان'!$C118=0,0,IF('امتیاز دهی خبرگان'!$C118=1,'طیف فازی'!$C$2,IF('امتیاز دهی خبرگان'!$C118=2,'طیف فازی'!$C$3,IF('امتیاز دهی خبرگان'!$C118=3,'طیف فازی'!$C$4,IF('امتیاز دهی خبرگان'!$C118=4,'طیف فازی'!$C$5,'طیف فازی'!$C$6)))))</f>
        <v>1</v>
      </c>
      <c r="E118" s="19">
        <f>IF('امتیاز دهی خبرگان'!$C118=0,0,IF('امتیاز دهی خبرگان'!$C118=1,'طیف فازی'!$D$2,IF('امتیاز دهی خبرگان'!$C118=2,'طیف فازی'!$D$3,IF('امتیاز دهی خبرگان'!$C118=3,'طیف فازی'!$D$4,IF('امتیاز دهی خبرگان'!$C118=4,'طیف فازی'!$D$5,'طیف فازی'!$D$6)))))</f>
        <v>1</v>
      </c>
      <c r="F118" s="20">
        <f>IF('امتیاز دهی خبرگان'!$D118=0,0,IF('امتیاز دهی خبرگان'!$D118=1,'طیف فازی'!$B$2,IF('امتیاز دهی خبرگان'!$D118=2,'طیف فازی'!$B$3,IF('امتیاز دهی خبرگان'!$D118=3,'طیف فازی'!$B$4,IF('امتیاز دهی خبرگان'!$D118=4,'طیف فازی'!$B$5,'طیف فازی'!$B$6)))))</f>
        <v>0.25</v>
      </c>
      <c r="G118" s="21">
        <f>IF('امتیاز دهی خبرگان'!$D118=0,0,IF('امتیاز دهی خبرگان'!$D118=1,'طیف فازی'!$D$2,IF('امتیاز دهی خبرگان'!$D118=2,'طیف فازی'!$C$3,IF('امتیاز دهی خبرگان'!$D118=3,'طیف فازی'!$C$4,IF('امتیاز دهی خبرگان'!$D118=4,'طیف فازی'!$C$5,'طیف فازی'!$C$6)))))</f>
        <v>0.5</v>
      </c>
      <c r="H118" s="22">
        <f>IF('امتیاز دهی خبرگان'!$D118=0,0,IF('امتیاز دهی خبرگان'!$D118=1,'طیف فازی'!$D$2,IF('امتیاز دهی خبرگان'!$D118=2,'طیف فازی'!$D$3,IF('امتیاز دهی خبرگان'!$D118=3,'طیف فازی'!$D$4,IF('امتیاز دهی خبرگان'!$D118=4,'طیف فازی'!$D$5,'طیف فازی'!$D$6)))))</f>
        <v>0.75</v>
      </c>
      <c r="I118" s="17">
        <f>IF('امتیاز دهی خبرگان'!$E118=0,0,IF('امتیاز دهی خبرگان'!$E118=1,'طیف فازی'!$B$2,IF('امتیاز دهی خبرگان'!$E118=2,'طیف فازی'!$B$3,IF('امتیاز دهی خبرگان'!$E118=3,'طیف فازی'!$B$4,IF('امتیاز دهی خبرگان'!$E118=4,'طیف فازی'!$B$5,'طیف فازی'!$B$6)))))</f>
        <v>0.75</v>
      </c>
      <c r="J118" s="18">
        <f>IF('امتیاز دهی خبرگان'!$E118=0,0,IF('امتیاز دهی خبرگان'!$E118=1,'طیف فازی'!$C$2,IF('امتیاز دهی خبرگان'!$E118=2,'طیف فازی'!$C$3,IF('امتیاز دهی خبرگان'!$E118=3,'طیف فازی'!$C$4,IF('امتیاز دهی خبرگان'!$E118=4,'طیف فازی'!$C$5,'طیف فازی'!$C$6)))))</f>
        <v>1</v>
      </c>
      <c r="K118" s="19">
        <f>IF('امتیاز دهی خبرگان'!$E118=0,0,IF('امتیاز دهی خبرگان'!$E118=1,'طیف فازی'!$D$2,IF('امتیاز دهی خبرگان'!$E118=2,'طیف فازی'!$D$3,IF('امتیاز دهی خبرگان'!$E118=3,'طیف فازی'!$D$4,IF('امتیاز دهی خبرگان'!$E118=4,'طیف فازی'!$D$5,'طیف فازی'!$D$6)))))</f>
        <v>1</v>
      </c>
      <c r="L118" s="17">
        <f>IF('امتیاز دهی خبرگان'!$F118=0,0,IF('امتیاز دهی خبرگان'!$F118=1,'طیف فازی'!$B$2,IF('امتیاز دهی خبرگان'!$F118=2,'طیف فازی'!$B$3,IF('امتیاز دهی خبرگان'!$F118=3,'طیف فازی'!$B$4,IF('امتیاز دهی خبرگان'!$F118=4,'طیف فازی'!$B$5,'طیف فازی'!$B$6)))))</f>
        <v>0.75</v>
      </c>
      <c r="M118" s="18">
        <f>IF('امتیاز دهی خبرگان'!$F118=0,0,IF('امتیاز دهی خبرگان'!$F118=1,'طیف فازی'!$C$2,IF('امتیاز دهی خبرگان'!$F118=2,'طیف فازی'!$C$3,IF('امتیاز دهی خبرگان'!$F118=3,'طیف فازی'!$C$4,IF('امتیاز دهی خبرگان'!$F118=4,'طیف فازی'!$C$5,'طیف فازی'!$C$6)))))</f>
        <v>1</v>
      </c>
      <c r="N118" s="19">
        <f>IF('امتیاز دهی خبرگان'!$F118=0,0,IF('امتیاز دهی خبرگان'!$F118=1,'طیف فازی'!$D$2,IF('امتیاز دهی خبرگان'!$F118=2,'طیف فازی'!$D$3,IF('امتیاز دهی خبرگان'!$F118=3,'طیف فازی'!$D$4,IF('امتیاز دهی خبرگان'!$F118=4,'طیف فازی'!$D$5,'طیف فازی'!$D$6)))))</f>
        <v>1</v>
      </c>
      <c r="O118" s="17">
        <f>IF('امتیاز دهی خبرگان'!$G118=0,0,IF('امتیاز دهی خبرگان'!$G118=1,'طیف فازی'!$B$2,IF('امتیاز دهی خبرگان'!$G118=2,'طیف فازی'!$B$3,IF('امتیاز دهی خبرگان'!$G118=3,'طیف فازی'!$B$4,IF('امتیاز دهی خبرگان'!$G118=4,'طیف فازی'!$B$5,'طیف فازی'!$B$6)))))</f>
        <v>0.5</v>
      </c>
      <c r="P118" s="18">
        <f>IF('امتیاز دهی خبرگان'!$G118=0,0,IF('امتیاز دهی خبرگان'!$G118=1,'طیف فازی'!$C$2,IF('امتیاز دهی خبرگان'!$G118=2,'طیف فازی'!$C$3,IF('امتیاز دهی خبرگان'!$G118=3,'طیف فازی'!$C$4,IF('امتیاز دهی خبرگان'!$G118=4,'طیف فازی'!$C$5,'طیف فازی'!$C$6)))))</f>
        <v>0.75</v>
      </c>
      <c r="Q118" s="19">
        <f>IF('امتیاز دهی خبرگان'!$G118=0,0,IF('امتیاز دهی خبرگان'!$G118=1,'طیف فازی'!$D$2,IF('امتیاز دهی خبرگان'!$G118=2,'طیف فازی'!$D$3,IF('امتیاز دهی خبرگان'!$G118=3,'طیف فازی'!$D$4,IF('امتیاز دهی خبرگان'!$G118=4,'طیف فازی'!$D$5,'طیف فازی'!$D$6)))))</f>
        <v>1</v>
      </c>
      <c r="R118" s="17">
        <f>IF('امتیاز دهی خبرگان'!$H118=0,0,IF('امتیاز دهی خبرگان'!$H118=1,'طیف فازی'!$B$2,IF('امتیاز دهی خبرگان'!$H118=2,'طیف فازی'!$B$3,IF('امتیاز دهی خبرگان'!$H118=3,'طیف فازی'!$B$4,IF('امتیاز دهی خبرگان'!$H118=4,'طیف فازی'!$B$5,'طیف فازی'!$B$6)))))</f>
        <v>0.5</v>
      </c>
      <c r="S118" s="18">
        <f>IF('امتیاز دهی خبرگان'!$H118=0,0,IF('امتیاز دهی خبرگان'!$H118=1,'طیف فازی'!$C$2,IF('امتیاز دهی خبرگان'!$H118=2,'طیف فازی'!$C$3,IF('امتیاز دهی خبرگان'!$H118=3,'طیف فازی'!$C$4,IF('امتیاز دهی خبرگان'!$H118=4,'طیف فازی'!$C$5,'طیف فازی'!$C$6)))))</f>
        <v>0.75</v>
      </c>
      <c r="T118" s="19">
        <f>IF('امتیاز دهی خبرگان'!$H118=0,0,IF('امتیاز دهی خبرگان'!$H118=1,'طیف فازی'!$D$2,IF('امتیاز دهی خبرگان'!$H118=2,'طیف فازی'!$D$3,IF('امتیاز دهی خبرگان'!$H118=3,'طیف فازی'!$D$4,IF('امتیاز دهی خبرگان'!$H118=4,'طیف فازی'!$D$5,'طیف فازی'!$D$6)))))</f>
        <v>1</v>
      </c>
      <c r="U118" s="17">
        <f>IF('امتیاز دهی خبرگان'!$I118=0,0,IF('امتیاز دهی خبرگان'!$I118=1,'طیف فازی'!$B$2,IF('امتیاز دهی خبرگان'!$I118=2,'طیف فازی'!$B$3,IF('امتیاز دهی خبرگان'!$I118=3,'طیف فازی'!$B$4,IF('امتیاز دهی خبرگان'!$I118=4,'طیف فازی'!$B$5,'طیف فازی'!$B$6)))))</f>
        <v>0.75</v>
      </c>
      <c r="V118" s="18">
        <f>IF('امتیاز دهی خبرگان'!$I118=0,0,IF('امتیاز دهی خبرگان'!$I118=1,'طیف فازی'!$C$2,IF('امتیاز دهی خبرگان'!$I118=2,'طیف فازی'!$C$3,IF('امتیاز دهی خبرگان'!$I118=3,'طیف فازی'!$C$4,IF('امتیاز دهی خبرگان'!$I118=4,'طیف فازی'!$C$5,'طیف فازی'!$C$6)))))</f>
        <v>1</v>
      </c>
      <c r="W118" s="19">
        <f>IF('امتیاز دهی خبرگان'!$I118=0,0,IF('امتیاز دهی خبرگان'!$I118=1,'طیف فازی'!$D$2,IF('امتیاز دهی خبرگان'!$I118=2,'طیف فازی'!$D$3,IF('امتیاز دهی خبرگان'!$I118=3,'طیف فازی'!$D$4,IF('امتیاز دهی خبرگان'!$I118=4,'طیف فازی'!$D$5,'طیف فازی'!$D$6)))))</f>
        <v>1</v>
      </c>
      <c r="X118" s="17">
        <f>IF('امتیاز دهی خبرگان'!$J118=0,0,IF('امتیاز دهی خبرگان'!$J118=1,'طیف فازی'!$B$2,IF('امتیاز دهی خبرگان'!$J118=2,'طیف فازی'!$B$3,IF('امتیاز دهی خبرگان'!$J118=3,'طیف فازی'!$B$4,IF('امتیاز دهی خبرگان'!$J118=4,'طیف فازی'!$B$5,'طیف فازی'!$B$6)))))</f>
        <v>0.75</v>
      </c>
      <c r="Y118" s="18">
        <f>IF('امتیاز دهی خبرگان'!$J118=0,0,IF('امتیاز دهی خبرگان'!$J118=1,'طیف فازی'!$C$2,IF('امتیاز دهی خبرگان'!$J118=2,'طیف فازی'!$C$3,IF('امتیاز دهی خبرگان'!$J118=3,'طیف فازی'!$C$4,IF('امتیاز دهی خبرگان'!$J118=4,'طیف فازی'!$C$5,'طیف فازی'!$C$6)))))</f>
        <v>1</v>
      </c>
      <c r="Z118" s="19">
        <f>IF('امتیاز دهی خبرگان'!$J118=0,0,IF('امتیاز دهی خبرگان'!$J118=1,'طیف فازی'!$D$2,IF('امتیاز دهی خبرگان'!$J118=2,'طیف فازی'!$D$3,IF('امتیاز دهی خبرگان'!$J118=3,'طیف فازی'!$D$4,IF('امتیاز دهی خبرگان'!$J118=4,'طیف فازی'!$D$5,'طیف فازی'!$D$6)))))</f>
        <v>1</v>
      </c>
      <c r="AA118" s="17">
        <f>IF('امتیاز دهی خبرگان'!$K118=0,0,IF('امتیاز دهی خبرگان'!$K118=1,'طیف فازی'!$B$2,IF('امتیاز دهی خبرگان'!$K118=2,'طیف فازی'!$B$3,IF('امتیاز دهی خبرگان'!$K118=3,'طیف فازی'!$B$4,IF('امتیاز دهی خبرگان'!$K118=4,'طیف فازی'!$B$5,'طیف فازی'!$B$6)))))</f>
        <v>0.75</v>
      </c>
      <c r="AB118" s="18">
        <f>IF('امتیاز دهی خبرگان'!$K118=0,0,IF('امتیاز دهی خبرگان'!$K118=1,'طیف فازی'!$C$2,IF('امتیاز دهی خبرگان'!$K118=2,'طیف فازی'!$C$3,IF('امتیاز دهی خبرگان'!$K118=3,'طیف فازی'!$C$4,IF('امتیاز دهی خبرگان'!$K118=4,'طیف فازی'!$C$5,'طیف فازی'!$C$6)))))</f>
        <v>1</v>
      </c>
      <c r="AC118" s="19">
        <f>IF('امتیاز دهی خبرگان'!$K118=0,0,IF('امتیاز دهی خبرگان'!$K118=1,'طیف فازی'!$D$2,IF('امتیاز دهی خبرگان'!$K118=2,'طیف فازی'!$D$3,IF('امتیاز دهی خبرگان'!$K118=3,'طیف فازی'!$D$4,IF('امتیاز دهی خبرگان'!$K118=4,'طیف فازی'!$D$5,'طیف فازی'!$D$6)))))</f>
        <v>1</v>
      </c>
      <c r="AD118" s="17">
        <f>IF('امتیاز دهی خبرگان'!$L118=0,0,IF('امتیاز دهی خبرگان'!$L118=1,'طیف فازی'!$B$2,IF('امتیاز دهی خبرگان'!$L118=2,'طیف فازی'!$B$3,IF('امتیاز دهی خبرگان'!$L118=3,'طیف فازی'!$B$4,IF('امتیاز دهی خبرگان'!$L118=4,'طیف فازی'!$B$5,'طیف فازی'!$B$6)))))</f>
        <v>0.75</v>
      </c>
      <c r="AE118" s="18">
        <f>IF('امتیاز دهی خبرگان'!$L118=0,0,IF('امتیاز دهی خبرگان'!$L118=1,'طیف فازی'!$C$2,IF('امتیاز دهی خبرگان'!$L118=2,'طیف فازی'!$C$3,IF('امتیاز دهی خبرگان'!$L118=3,'طیف فازی'!$C$4,IF('امتیاز دهی خبرگان'!$L118=4,'طیف فازی'!$C$5,'طیف فازی'!$C$6)))))</f>
        <v>1</v>
      </c>
      <c r="AF118" s="19">
        <f>IF('امتیاز دهی خبرگان'!$L118=0,0,IF('امتیاز دهی خبرگان'!$L118=1,'طیف فازی'!$D$2,IF('امتیاز دهی خبرگان'!$L118=2,'طیف فازی'!$D$3,IF('امتیاز دهی خبرگان'!$L118=3,'طیف فازی'!$D$4,IF('امتیاز دهی خبرگان'!$L118=4,'طیف فازی'!$D$5,'طیف فازی'!$D$6)))))</f>
        <v>1</v>
      </c>
      <c r="AG118" s="17">
        <f>IF('امتیاز دهی خبرگان'!$M118=0,0,IF('امتیاز دهی خبرگان'!$M118=1,'طیف فازی'!$B$2,IF('امتیاز دهی خبرگان'!$M118=2,'طیف فازی'!$B$3,IF('امتیاز دهی خبرگان'!$M118=3,'طیف فازی'!$B$4,IF('امتیاز دهی خبرگان'!$M118=4,'طیف فازی'!$B$5,'طیف فازی'!$B$6)))))</f>
        <v>0.75</v>
      </c>
      <c r="AH118" s="18">
        <f>IF('امتیاز دهی خبرگان'!$M118=0,0,IF('امتیاز دهی خبرگان'!$M118=1,'طیف فازی'!$C$2,IF('امتیاز دهی خبرگان'!$M118=2,'طیف فازی'!$C$3,IF('امتیاز دهی خبرگان'!$M118=3,'طیف فازی'!$C$4,IF('امتیاز دهی خبرگان'!$M118=4,'طیف فازی'!$C$5,'طیف فازی'!$C$6)))))</f>
        <v>1</v>
      </c>
      <c r="AI118" s="19">
        <f>IF('امتیاز دهی خبرگان'!$M118=0,0,IF('امتیاز دهی خبرگان'!$M118=1,'طیف فازی'!$D$2,IF('امتیاز دهی خبرگان'!$M118=2,'طیف فازی'!$D$3,IF('امتیاز دهی خبرگان'!$M118=3,'طیف فازی'!$D$4,IF('امتیاز دهی خبرگان'!$M118=4,'طیف فازی'!$D$5,'طیف فازی'!$D$6)))))</f>
        <v>1</v>
      </c>
      <c r="AJ118" s="17">
        <f>IF('امتیاز دهی خبرگان'!$N118=0,0,IF('امتیاز دهی خبرگان'!$N118=1,'طیف فازی'!$B$2,IF('امتیاز دهی خبرگان'!$N118=2,'طیف فازی'!$B$3,IF('امتیاز دهی خبرگان'!$N118=3,'طیف فازی'!$B$4,IF('امتیاز دهی خبرگان'!$N118=4,'طیف فازی'!$B$5,'طیف فازی'!$B$6)))))</f>
        <v>0.75</v>
      </c>
      <c r="AK118" s="18">
        <f>IF('امتیاز دهی خبرگان'!$N118=0,0,IF('امتیاز دهی خبرگان'!$N118=1,'طیف فازی'!$C$2,IF('امتیاز دهی خبرگان'!$N118=2,'طیف فازی'!$C$3,IF('امتیاز دهی خبرگان'!$N118=3,'طیف فازی'!$C$4,IF('امتیاز دهی خبرگان'!$N118=4,'طیف فازی'!$C$5,'طیف فازی'!$C$6)))))</f>
        <v>1</v>
      </c>
      <c r="AL118" s="19">
        <f>IF('امتیاز دهی خبرگان'!$N118=0,0,IF('امتیاز دهی خبرگان'!$N118=1,'طیف فازی'!$D$2,IF('امتیاز دهی خبرگان'!$N118=2,'طیف فازی'!$D$3,IF('امتیاز دهی خبرگان'!$N118=3,'طیف فازی'!$D$4,IF('امتیاز دهی خبرگان'!$N118=4,'طیف فازی'!$D$5,'طیف فازی'!$D$6)))))</f>
        <v>1</v>
      </c>
      <c r="AM118" s="23">
        <f t="shared" si="9"/>
        <v>8</v>
      </c>
      <c r="AN118" s="23">
        <f t="shared" si="10"/>
        <v>11</v>
      </c>
      <c r="AO118" s="24">
        <f t="shared" si="11"/>
        <v>11.75</v>
      </c>
      <c r="AP118" s="25">
        <f t="shared" si="12"/>
        <v>0.66666666666666663</v>
      </c>
      <c r="AQ118" s="23">
        <f t="shared" si="13"/>
        <v>0.91666666666666663</v>
      </c>
      <c r="AR118" s="24">
        <f t="shared" si="14"/>
        <v>0.97916666666666663</v>
      </c>
      <c r="AS118" s="24">
        <f t="shared" si="15"/>
        <v>0.85416666666666663</v>
      </c>
      <c r="AT118" s="24" t="str">
        <f t="shared" si="16"/>
        <v>Pass</v>
      </c>
    </row>
    <row r="119" spans="2:46" ht="23.25" customHeight="1" thickBot="1" x14ac:dyDescent="0.85">
      <c r="B119" s="2">
        <v>115</v>
      </c>
      <c r="C119" s="17">
        <f>IF('امتیاز دهی خبرگان'!$C119=0,0,IF('امتیاز دهی خبرگان'!$C119=1,'طیف فازی'!$B$2,IF('امتیاز دهی خبرگان'!$C119=2,'طیف فازی'!$B$3,IF('امتیاز دهی خبرگان'!$C119=3,'طیف فازی'!$B$4,IF('امتیاز دهی خبرگان'!$C119=4,'طیف فازی'!$B$5,'طیف فازی'!$B$6)))))</f>
        <v>0.75</v>
      </c>
      <c r="D119" s="18">
        <f>IF('امتیاز دهی خبرگان'!$C119=0,0,IF('امتیاز دهی خبرگان'!$C119=1,'طیف فازی'!$C$2,IF('امتیاز دهی خبرگان'!$C119=2,'طیف فازی'!$C$3,IF('امتیاز دهی خبرگان'!$C119=3,'طیف فازی'!$C$4,IF('امتیاز دهی خبرگان'!$C119=4,'طیف فازی'!$C$5,'طیف فازی'!$C$6)))))</f>
        <v>1</v>
      </c>
      <c r="E119" s="19">
        <f>IF('امتیاز دهی خبرگان'!$C119=0,0,IF('امتیاز دهی خبرگان'!$C119=1,'طیف فازی'!$D$2,IF('امتیاز دهی خبرگان'!$C119=2,'طیف فازی'!$D$3,IF('امتیاز دهی خبرگان'!$C119=3,'طیف فازی'!$D$4,IF('امتیاز دهی خبرگان'!$C119=4,'طیف فازی'!$D$5,'طیف فازی'!$D$6)))))</f>
        <v>1</v>
      </c>
      <c r="F119" s="20">
        <f>IF('امتیاز دهی خبرگان'!$D119=0,0,IF('امتیاز دهی خبرگان'!$D119=1,'طیف فازی'!$B$2,IF('امتیاز دهی خبرگان'!$D119=2,'طیف فازی'!$B$3,IF('امتیاز دهی خبرگان'!$D119=3,'طیف فازی'!$B$4,IF('امتیاز دهی خبرگان'!$D119=4,'طیف فازی'!$B$5,'طیف فازی'!$B$6)))))</f>
        <v>0.5</v>
      </c>
      <c r="G119" s="21">
        <f>IF('امتیاز دهی خبرگان'!$D119=0,0,IF('امتیاز دهی خبرگان'!$D119=1,'طیف فازی'!$D$2,IF('امتیاز دهی خبرگان'!$D119=2,'طیف فازی'!$C$3,IF('امتیاز دهی خبرگان'!$D119=3,'طیف فازی'!$C$4,IF('امتیاز دهی خبرگان'!$D119=4,'طیف فازی'!$C$5,'طیف فازی'!$C$6)))))</f>
        <v>0.75</v>
      </c>
      <c r="H119" s="22">
        <f>IF('امتیاز دهی خبرگان'!$D119=0,0,IF('امتیاز دهی خبرگان'!$D119=1,'طیف فازی'!$D$2,IF('امتیاز دهی خبرگان'!$D119=2,'طیف فازی'!$D$3,IF('امتیاز دهی خبرگان'!$D119=3,'طیف فازی'!$D$4,IF('امتیاز دهی خبرگان'!$D119=4,'طیف فازی'!$D$5,'طیف فازی'!$D$6)))))</f>
        <v>1</v>
      </c>
      <c r="I119" s="17">
        <f>IF('امتیاز دهی خبرگان'!$E119=0,0,IF('امتیاز دهی خبرگان'!$E119=1,'طیف فازی'!$B$2,IF('امتیاز دهی خبرگان'!$E119=2,'طیف فازی'!$B$3,IF('امتیاز دهی خبرگان'!$E119=3,'طیف فازی'!$B$4,IF('امتیاز دهی خبرگان'!$E119=4,'طیف فازی'!$B$5,'طیف فازی'!$B$6)))))</f>
        <v>0.5</v>
      </c>
      <c r="J119" s="18">
        <f>IF('امتیاز دهی خبرگان'!$E119=0,0,IF('امتیاز دهی خبرگان'!$E119=1,'طیف فازی'!$C$2,IF('امتیاز دهی خبرگان'!$E119=2,'طیف فازی'!$C$3,IF('امتیاز دهی خبرگان'!$E119=3,'طیف فازی'!$C$4,IF('امتیاز دهی خبرگان'!$E119=4,'طیف فازی'!$C$5,'طیف فازی'!$C$6)))))</f>
        <v>0.75</v>
      </c>
      <c r="K119" s="19">
        <f>IF('امتیاز دهی خبرگان'!$E119=0,0,IF('امتیاز دهی خبرگان'!$E119=1,'طیف فازی'!$D$2,IF('امتیاز دهی خبرگان'!$E119=2,'طیف فازی'!$D$3,IF('امتیاز دهی خبرگان'!$E119=3,'طیف فازی'!$D$4,IF('امتیاز دهی خبرگان'!$E119=4,'طیف فازی'!$D$5,'طیف فازی'!$D$6)))))</f>
        <v>1</v>
      </c>
      <c r="L119" s="17">
        <f>IF('امتیاز دهی خبرگان'!$F119=0,0,IF('امتیاز دهی خبرگان'!$F119=1,'طیف فازی'!$B$2,IF('امتیاز دهی خبرگان'!$F119=2,'طیف فازی'!$B$3,IF('امتیاز دهی خبرگان'!$F119=3,'طیف فازی'!$B$4,IF('امتیاز دهی خبرگان'!$F119=4,'طیف فازی'!$B$5,'طیف فازی'!$B$6)))))</f>
        <v>0.75</v>
      </c>
      <c r="M119" s="18">
        <f>IF('امتیاز دهی خبرگان'!$F119=0,0,IF('امتیاز دهی خبرگان'!$F119=1,'طیف فازی'!$C$2,IF('امتیاز دهی خبرگان'!$F119=2,'طیف فازی'!$C$3,IF('امتیاز دهی خبرگان'!$F119=3,'طیف فازی'!$C$4,IF('امتیاز دهی خبرگان'!$F119=4,'طیف فازی'!$C$5,'طیف فازی'!$C$6)))))</f>
        <v>1</v>
      </c>
      <c r="N119" s="19">
        <f>IF('امتیاز دهی خبرگان'!$F119=0,0,IF('امتیاز دهی خبرگان'!$F119=1,'طیف فازی'!$D$2,IF('امتیاز دهی خبرگان'!$F119=2,'طیف فازی'!$D$3,IF('امتیاز دهی خبرگان'!$F119=3,'طیف فازی'!$D$4,IF('امتیاز دهی خبرگان'!$F119=4,'طیف فازی'!$D$5,'طیف فازی'!$D$6)))))</f>
        <v>1</v>
      </c>
      <c r="O119" s="17">
        <f>IF('امتیاز دهی خبرگان'!$G119=0,0,IF('امتیاز دهی خبرگان'!$G119=1,'طیف فازی'!$B$2,IF('امتیاز دهی خبرگان'!$G119=2,'طیف فازی'!$B$3,IF('امتیاز دهی خبرگان'!$G119=3,'طیف فازی'!$B$4,IF('امتیاز دهی خبرگان'!$G119=4,'طیف فازی'!$B$5,'طیف فازی'!$B$6)))))</f>
        <v>0.5</v>
      </c>
      <c r="P119" s="18">
        <f>IF('امتیاز دهی خبرگان'!$G119=0,0,IF('امتیاز دهی خبرگان'!$G119=1,'طیف فازی'!$C$2,IF('امتیاز دهی خبرگان'!$G119=2,'طیف فازی'!$C$3,IF('امتیاز دهی خبرگان'!$G119=3,'طیف فازی'!$C$4,IF('امتیاز دهی خبرگان'!$G119=4,'طیف فازی'!$C$5,'طیف فازی'!$C$6)))))</f>
        <v>0.75</v>
      </c>
      <c r="Q119" s="19">
        <f>IF('امتیاز دهی خبرگان'!$G119=0,0,IF('امتیاز دهی خبرگان'!$G119=1,'طیف فازی'!$D$2,IF('امتیاز دهی خبرگان'!$G119=2,'طیف فازی'!$D$3,IF('امتیاز دهی خبرگان'!$G119=3,'طیف فازی'!$D$4,IF('امتیاز دهی خبرگان'!$G119=4,'طیف فازی'!$D$5,'طیف فازی'!$D$6)))))</f>
        <v>1</v>
      </c>
      <c r="R119" s="17">
        <f>IF('امتیاز دهی خبرگان'!$H119=0,0,IF('امتیاز دهی خبرگان'!$H119=1,'طیف فازی'!$B$2,IF('امتیاز دهی خبرگان'!$H119=2,'طیف فازی'!$B$3,IF('امتیاز دهی خبرگان'!$H119=3,'طیف فازی'!$B$4,IF('امتیاز دهی خبرگان'!$H119=4,'طیف فازی'!$B$5,'طیف فازی'!$B$6)))))</f>
        <v>0.25</v>
      </c>
      <c r="S119" s="18">
        <f>IF('امتیاز دهی خبرگان'!$H119=0,0,IF('امتیاز دهی خبرگان'!$H119=1,'طیف فازی'!$C$2,IF('امتیاز دهی خبرگان'!$H119=2,'طیف فازی'!$C$3,IF('امتیاز دهی خبرگان'!$H119=3,'طیف فازی'!$C$4,IF('امتیاز دهی خبرگان'!$H119=4,'طیف فازی'!$C$5,'طیف فازی'!$C$6)))))</f>
        <v>0.5</v>
      </c>
      <c r="T119" s="19">
        <f>IF('امتیاز دهی خبرگان'!$H119=0,0,IF('امتیاز دهی خبرگان'!$H119=1,'طیف فازی'!$D$2,IF('امتیاز دهی خبرگان'!$H119=2,'طیف فازی'!$D$3,IF('امتیاز دهی خبرگان'!$H119=3,'طیف فازی'!$D$4,IF('امتیاز دهی خبرگان'!$H119=4,'طیف فازی'!$D$5,'طیف فازی'!$D$6)))))</f>
        <v>0.75</v>
      </c>
      <c r="U119" s="17">
        <f>IF('امتیاز دهی خبرگان'!$I119=0,0,IF('امتیاز دهی خبرگان'!$I119=1,'طیف فازی'!$B$2,IF('امتیاز دهی خبرگان'!$I119=2,'طیف فازی'!$B$3,IF('امتیاز دهی خبرگان'!$I119=3,'طیف فازی'!$B$4,IF('امتیاز دهی خبرگان'!$I119=4,'طیف فازی'!$B$5,'طیف فازی'!$B$6)))))</f>
        <v>0.75</v>
      </c>
      <c r="V119" s="18">
        <f>IF('امتیاز دهی خبرگان'!$I119=0,0,IF('امتیاز دهی خبرگان'!$I119=1,'طیف فازی'!$C$2,IF('امتیاز دهی خبرگان'!$I119=2,'طیف فازی'!$C$3,IF('امتیاز دهی خبرگان'!$I119=3,'طیف فازی'!$C$4,IF('امتیاز دهی خبرگان'!$I119=4,'طیف فازی'!$C$5,'طیف فازی'!$C$6)))))</f>
        <v>1</v>
      </c>
      <c r="W119" s="19">
        <f>IF('امتیاز دهی خبرگان'!$I119=0,0,IF('امتیاز دهی خبرگان'!$I119=1,'طیف فازی'!$D$2,IF('امتیاز دهی خبرگان'!$I119=2,'طیف فازی'!$D$3,IF('امتیاز دهی خبرگان'!$I119=3,'طیف فازی'!$D$4,IF('امتیاز دهی خبرگان'!$I119=4,'طیف فازی'!$D$5,'طیف فازی'!$D$6)))))</f>
        <v>1</v>
      </c>
      <c r="X119" s="17">
        <f>IF('امتیاز دهی خبرگان'!$J119=0,0,IF('امتیاز دهی خبرگان'!$J119=1,'طیف فازی'!$B$2,IF('امتیاز دهی خبرگان'!$J119=2,'طیف فازی'!$B$3,IF('امتیاز دهی خبرگان'!$J119=3,'طیف فازی'!$B$4,IF('امتیاز دهی خبرگان'!$J119=4,'طیف فازی'!$B$5,'طیف فازی'!$B$6)))))</f>
        <v>0.5</v>
      </c>
      <c r="Y119" s="18">
        <f>IF('امتیاز دهی خبرگان'!$J119=0,0,IF('امتیاز دهی خبرگان'!$J119=1,'طیف فازی'!$C$2,IF('امتیاز دهی خبرگان'!$J119=2,'طیف فازی'!$C$3,IF('امتیاز دهی خبرگان'!$J119=3,'طیف فازی'!$C$4,IF('امتیاز دهی خبرگان'!$J119=4,'طیف فازی'!$C$5,'طیف فازی'!$C$6)))))</f>
        <v>0.75</v>
      </c>
      <c r="Z119" s="19">
        <f>IF('امتیاز دهی خبرگان'!$J119=0,0,IF('امتیاز دهی خبرگان'!$J119=1,'طیف فازی'!$D$2,IF('امتیاز دهی خبرگان'!$J119=2,'طیف فازی'!$D$3,IF('امتیاز دهی خبرگان'!$J119=3,'طیف فازی'!$D$4,IF('امتیاز دهی خبرگان'!$J119=4,'طیف فازی'!$D$5,'طیف فازی'!$D$6)))))</f>
        <v>1</v>
      </c>
      <c r="AA119" s="17">
        <f>IF('امتیاز دهی خبرگان'!$K119=0,0,IF('امتیاز دهی خبرگان'!$K119=1,'طیف فازی'!$B$2,IF('امتیاز دهی خبرگان'!$K119=2,'طیف فازی'!$B$3,IF('امتیاز دهی خبرگان'!$K119=3,'طیف فازی'!$B$4,IF('امتیاز دهی خبرگان'!$K119=4,'طیف فازی'!$B$5,'طیف فازی'!$B$6)))))</f>
        <v>0.5</v>
      </c>
      <c r="AB119" s="18">
        <f>IF('امتیاز دهی خبرگان'!$K119=0,0,IF('امتیاز دهی خبرگان'!$K119=1,'طیف فازی'!$C$2,IF('امتیاز دهی خبرگان'!$K119=2,'طیف فازی'!$C$3,IF('امتیاز دهی خبرگان'!$K119=3,'طیف فازی'!$C$4,IF('امتیاز دهی خبرگان'!$K119=4,'طیف فازی'!$C$5,'طیف فازی'!$C$6)))))</f>
        <v>0.75</v>
      </c>
      <c r="AC119" s="19">
        <f>IF('امتیاز دهی خبرگان'!$K119=0,0,IF('امتیاز دهی خبرگان'!$K119=1,'طیف فازی'!$D$2,IF('امتیاز دهی خبرگان'!$K119=2,'طیف فازی'!$D$3,IF('امتیاز دهی خبرگان'!$K119=3,'طیف فازی'!$D$4,IF('امتیاز دهی خبرگان'!$K119=4,'طیف فازی'!$D$5,'طیف فازی'!$D$6)))))</f>
        <v>1</v>
      </c>
      <c r="AD119" s="17">
        <f>IF('امتیاز دهی خبرگان'!$L119=0,0,IF('امتیاز دهی خبرگان'!$L119=1,'طیف فازی'!$B$2,IF('امتیاز دهی خبرگان'!$L119=2,'طیف فازی'!$B$3,IF('امتیاز دهی خبرگان'!$L119=3,'طیف فازی'!$B$4,IF('امتیاز دهی خبرگان'!$L119=4,'طیف فازی'!$B$5,'طیف فازی'!$B$6)))))</f>
        <v>0.5</v>
      </c>
      <c r="AE119" s="18">
        <f>IF('امتیاز دهی خبرگان'!$L119=0,0,IF('امتیاز دهی خبرگان'!$L119=1,'طیف فازی'!$C$2,IF('امتیاز دهی خبرگان'!$L119=2,'طیف فازی'!$C$3,IF('امتیاز دهی خبرگان'!$L119=3,'طیف فازی'!$C$4,IF('امتیاز دهی خبرگان'!$L119=4,'طیف فازی'!$C$5,'طیف فازی'!$C$6)))))</f>
        <v>0.75</v>
      </c>
      <c r="AF119" s="19">
        <f>IF('امتیاز دهی خبرگان'!$L119=0,0,IF('امتیاز دهی خبرگان'!$L119=1,'طیف فازی'!$D$2,IF('امتیاز دهی خبرگان'!$L119=2,'طیف فازی'!$D$3,IF('امتیاز دهی خبرگان'!$L119=3,'طیف فازی'!$D$4,IF('امتیاز دهی خبرگان'!$L119=4,'طیف فازی'!$D$5,'طیف فازی'!$D$6)))))</f>
        <v>1</v>
      </c>
      <c r="AG119" s="17">
        <f>IF('امتیاز دهی خبرگان'!$M119=0,0,IF('امتیاز دهی خبرگان'!$M119=1,'طیف فازی'!$B$2,IF('امتیاز دهی خبرگان'!$M119=2,'طیف فازی'!$B$3,IF('امتیاز دهی خبرگان'!$M119=3,'طیف فازی'!$B$4,IF('امتیاز دهی خبرگان'!$M119=4,'طیف فازی'!$B$5,'طیف فازی'!$B$6)))))</f>
        <v>0.25</v>
      </c>
      <c r="AH119" s="18">
        <f>IF('امتیاز دهی خبرگان'!$M119=0,0,IF('امتیاز دهی خبرگان'!$M119=1,'طیف فازی'!$C$2,IF('امتیاز دهی خبرگان'!$M119=2,'طیف فازی'!$C$3,IF('امتیاز دهی خبرگان'!$M119=3,'طیف فازی'!$C$4,IF('امتیاز دهی خبرگان'!$M119=4,'طیف فازی'!$C$5,'طیف فازی'!$C$6)))))</f>
        <v>0.5</v>
      </c>
      <c r="AI119" s="19">
        <f>IF('امتیاز دهی خبرگان'!$M119=0,0,IF('امتیاز دهی خبرگان'!$M119=1,'طیف فازی'!$D$2,IF('امتیاز دهی خبرگان'!$M119=2,'طیف فازی'!$D$3,IF('امتیاز دهی خبرگان'!$M119=3,'طیف فازی'!$D$4,IF('امتیاز دهی خبرگان'!$M119=4,'طیف فازی'!$D$5,'طیف فازی'!$D$6)))))</f>
        <v>0.75</v>
      </c>
      <c r="AJ119" s="17">
        <f>IF('امتیاز دهی خبرگان'!$N119=0,0,IF('امتیاز دهی خبرگان'!$N119=1,'طیف فازی'!$B$2,IF('امتیاز دهی خبرگان'!$N119=2,'طیف فازی'!$B$3,IF('امتیاز دهی خبرگان'!$N119=3,'طیف فازی'!$B$4,IF('امتیاز دهی خبرگان'!$N119=4,'طیف فازی'!$B$5,'طیف فازی'!$B$6)))))</f>
        <v>0.5</v>
      </c>
      <c r="AK119" s="18">
        <f>IF('امتیاز دهی خبرگان'!$N119=0,0,IF('امتیاز دهی خبرگان'!$N119=1,'طیف فازی'!$C$2,IF('امتیاز دهی خبرگان'!$N119=2,'طیف فازی'!$C$3,IF('امتیاز دهی خبرگان'!$N119=3,'طیف فازی'!$C$4,IF('امتیاز دهی خبرگان'!$N119=4,'طیف فازی'!$C$5,'طیف فازی'!$C$6)))))</f>
        <v>0.75</v>
      </c>
      <c r="AL119" s="19">
        <f>IF('امتیاز دهی خبرگان'!$N119=0,0,IF('امتیاز دهی خبرگان'!$N119=1,'طیف فازی'!$D$2,IF('امتیاز دهی خبرگان'!$N119=2,'طیف فازی'!$D$3,IF('امتیاز دهی خبرگان'!$N119=3,'طیف فازی'!$D$4,IF('امتیاز دهی خبرگان'!$N119=4,'طیف فازی'!$D$5,'طیف فازی'!$D$6)))))</f>
        <v>1</v>
      </c>
      <c r="AM119" s="23">
        <f t="shared" si="9"/>
        <v>6.25</v>
      </c>
      <c r="AN119" s="23">
        <f t="shared" si="10"/>
        <v>9.25</v>
      </c>
      <c r="AO119" s="24">
        <f t="shared" si="11"/>
        <v>11.5</v>
      </c>
      <c r="AP119" s="25">
        <f t="shared" si="12"/>
        <v>0.52083333333333337</v>
      </c>
      <c r="AQ119" s="23">
        <f t="shared" si="13"/>
        <v>0.77083333333333337</v>
      </c>
      <c r="AR119" s="24">
        <f t="shared" si="14"/>
        <v>0.95833333333333337</v>
      </c>
      <c r="AS119" s="24">
        <f t="shared" si="15"/>
        <v>0.75</v>
      </c>
      <c r="AT119" s="24" t="str">
        <f t="shared" si="16"/>
        <v>Pass</v>
      </c>
    </row>
    <row r="120" spans="2:46" ht="23.25" customHeight="1" thickBot="1" x14ac:dyDescent="0.85">
      <c r="B120" s="2">
        <v>116</v>
      </c>
      <c r="C120" s="17">
        <f>IF('امتیاز دهی خبرگان'!$C120=0,0,IF('امتیاز دهی خبرگان'!$C120=1,'طیف فازی'!$B$2,IF('امتیاز دهی خبرگان'!$C120=2,'طیف فازی'!$B$3,IF('امتیاز دهی خبرگان'!$C120=3,'طیف فازی'!$B$4,IF('امتیاز دهی خبرگان'!$C120=4,'طیف فازی'!$B$5,'طیف فازی'!$B$6)))))</f>
        <v>0.75</v>
      </c>
      <c r="D120" s="18">
        <f>IF('امتیاز دهی خبرگان'!$C120=0,0,IF('امتیاز دهی خبرگان'!$C120=1,'طیف فازی'!$C$2,IF('امتیاز دهی خبرگان'!$C120=2,'طیف فازی'!$C$3,IF('امتیاز دهی خبرگان'!$C120=3,'طیف فازی'!$C$4,IF('امتیاز دهی خبرگان'!$C120=4,'طیف فازی'!$C$5,'طیف فازی'!$C$6)))))</f>
        <v>1</v>
      </c>
      <c r="E120" s="19">
        <f>IF('امتیاز دهی خبرگان'!$C120=0,0,IF('امتیاز دهی خبرگان'!$C120=1,'طیف فازی'!$D$2,IF('امتیاز دهی خبرگان'!$C120=2,'طیف فازی'!$D$3,IF('امتیاز دهی خبرگان'!$C120=3,'طیف فازی'!$D$4,IF('امتیاز دهی خبرگان'!$C120=4,'طیف فازی'!$D$5,'طیف فازی'!$D$6)))))</f>
        <v>1</v>
      </c>
      <c r="F120" s="20">
        <f>IF('امتیاز دهی خبرگان'!$D120=0,0,IF('امتیاز دهی خبرگان'!$D120=1,'طیف فازی'!$B$2,IF('امتیاز دهی خبرگان'!$D120=2,'طیف فازی'!$B$3,IF('امتیاز دهی خبرگان'!$D120=3,'طیف فازی'!$B$4,IF('امتیاز دهی خبرگان'!$D120=4,'طیف فازی'!$B$5,'طیف فازی'!$B$6)))))</f>
        <v>0.25</v>
      </c>
      <c r="G120" s="21">
        <f>IF('امتیاز دهی خبرگان'!$D120=0,0,IF('امتیاز دهی خبرگان'!$D120=1,'طیف فازی'!$D$2,IF('امتیاز دهی خبرگان'!$D120=2,'طیف فازی'!$C$3,IF('امتیاز دهی خبرگان'!$D120=3,'طیف فازی'!$C$4,IF('امتیاز دهی خبرگان'!$D120=4,'طیف فازی'!$C$5,'طیف فازی'!$C$6)))))</f>
        <v>0.5</v>
      </c>
      <c r="H120" s="22">
        <f>IF('امتیاز دهی خبرگان'!$D120=0,0,IF('امتیاز دهی خبرگان'!$D120=1,'طیف فازی'!$D$2,IF('امتیاز دهی خبرگان'!$D120=2,'طیف فازی'!$D$3,IF('امتیاز دهی خبرگان'!$D120=3,'طیف فازی'!$D$4,IF('امتیاز دهی خبرگان'!$D120=4,'طیف فازی'!$D$5,'طیف فازی'!$D$6)))))</f>
        <v>0.75</v>
      </c>
      <c r="I120" s="17">
        <f>IF('امتیاز دهی خبرگان'!$E120=0,0,IF('امتیاز دهی خبرگان'!$E120=1,'طیف فازی'!$B$2,IF('امتیاز دهی خبرگان'!$E120=2,'طیف فازی'!$B$3,IF('امتیاز دهی خبرگان'!$E120=3,'طیف فازی'!$B$4,IF('امتیاز دهی خبرگان'!$E120=4,'طیف فازی'!$B$5,'طیف فازی'!$B$6)))))</f>
        <v>0.5</v>
      </c>
      <c r="J120" s="18">
        <f>IF('امتیاز دهی خبرگان'!$E120=0,0,IF('امتیاز دهی خبرگان'!$E120=1,'طیف فازی'!$C$2,IF('امتیاز دهی خبرگان'!$E120=2,'طیف فازی'!$C$3,IF('امتیاز دهی خبرگان'!$E120=3,'طیف فازی'!$C$4,IF('امتیاز دهی خبرگان'!$E120=4,'طیف فازی'!$C$5,'طیف فازی'!$C$6)))))</f>
        <v>0.75</v>
      </c>
      <c r="K120" s="19">
        <f>IF('امتیاز دهی خبرگان'!$E120=0,0,IF('امتیاز دهی خبرگان'!$E120=1,'طیف فازی'!$D$2,IF('امتیاز دهی خبرگان'!$E120=2,'طیف فازی'!$D$3,IF('امتیاز دهی خبرگان'!$E120=3,'طیف فازی'!$D$4,IF('امتیاز دهی خبرگان'!$E120=4,'طیف فازی'!$D$5,'طیف فازی'!$D$6)))))</f>
        <v>1</v>
      </c>
      <c r="L120" s="17">
        <f>IF('امتیاز دهی خبرگان'!$F120=0,0,IF('امتیاز دهی خبرگان'!$F120=1,'طیف فازی'!$B$2,IF('امتیاز دهی خبرگان'!$F120=2,'طیف فازی'!$B$3,IF('امتیاز دهی خبرگان'!$F120=3,'طیف فازی'!$B$4,IF('امتیاز دهی خبرگان'!$F120=4,'طیف فازی'!$B$5,'طیف فازی'!$B$6)))))</f>
        <v>0.75</v>
      </c>
      <c r="M120" s="18">
        <f>IF('امتیاز دهی خبرگان'!$F120=0,0,IF('امتیاز دهی خبرگان'!$F120=1,'طیف فازی'!$C$2,IF('امتیاز دهی خبرگان'!$F120=2,'طیف فازی'!$C$3,IF('امتیاز دهی خبرگان'!$F120=3,'طیف فازی'!$C$4,IF('امتیاز دهی خبرگان'!$F120=4,'طیف فازی'!$C$5,'طیف فازی'!$C$6)))))</f>
        <v>1</v>
      </c>
      <c r="N120" s="19">
        <f>IF('امتیاز دهی خبرگان'!$F120=0,0,IF('امتیاز دهی خبرگان'!$F120=1,'طیف فازی'!$D$2,IF('امتیاز دهی خبرگان'!$F120=2,'طیف فازی'!$D$3,IF('امتیاز دهی خبرگان'!$F120=3,'طیف فازی'!$D$4,IF('امتیاز دهی خبرگان'!$F120=4,'طیف فازی'!$D$5,'طیف فازی'!$D$6)))))</f>
        <v>1</v>
      </c>
      <c r="O120" s="17">
        <f>IF('امتیاز دهی خبرگان'!$G120=0,0,IF('امتیاز دهی خبرگان'!$G120=1,'طیف فازی'!$B$2,IF('امتیاز دهی خبرگان'!$G120=2,'طیف فازی'!$B$3,IF('امتیاز دهی خبرگان'!$G120=3,'طیف فازی'!$B$4,IF('امتیاز دهی خبرگان'!$G120=4,'طیف فازی'!$B$5,'طیف فازی'!$B$6)))))</f>
        <v>0.75</v>
      </c>
      <c r="P120" s="18">
        <f>IF('امتیاز دهی خبرگان'!$G120=0,0,IF('امتیاز دهی خبرگان'!$G120=1,'طیف فازی'!$C$2,IF('امتیاز دهی خبرگان'!$G120=2,'طیف فازی'!$C$3,IF('امتیاز دهی خبرگان'!$G120=3,'طیف فازی'!$C$4,IF('امتیاز دهی خبرگان'!$G120=4,'طیف فازی'!$C$5,'طیف فازی'!$C$6)))))</f>
        <v>1</v>
      </c>
      <c r="Q120" s="19">
        <f>IF('امتیاز دهی خبرگان'!$G120=0,0,IF('امتیاز دهی خبرگان'!$G120=1,'طیف فازی'!$D$2,IF('امتیاز دهی خبرگان'!$G120=2,'طیف فازی'!$D$3,IF('امتیاز دهی خبرگان'!$G120=3,'طیف فازی'!$D$4,IF('امتیاز دهی خبرگان'!$G120=4,'طیف فازی'!$D$5,'طیف فازی'!$D$6)))))</f>
        <v>1</v>
      </c>
      <c r="R120" s="17">
        <f>IF('امتیاز دهی خبرگان'!$H120=0,0,IF('امتیاز دهی خبرگان'!$H120=1,'طیف فازی'!$B$2,IF('امتیاز دهی خبرگان'!$H120=2,'طیف فازی'!$B$3,IF('امتیاز دهی خبرگان'!$H120=3,'طیف فازی'!$B$4,IF('امتیاز دهی خبرگان'!$H120=4,'طیف فازی'!$B$5,'طیف فازی'!$B$6)))))</f>
        <v>0.5</v>
      </c>
      <c r="S120" s="18">
        <f>IF('امتیاز دهی خبرگان'!$H120=0,0,IF('امتیاز دهی خبرگان'!$H120=1,'طیف فازی'!$C$2,IF('امتیاز دهی خبرگان'!$H120=2,'طیف فازی'!$C$3,IF('امتیاز دهی خبرگان'!$H120=3,'طیف فازی'!$C$4,IF('امتیاز دهی خبرگان'!$H120=4,'طیف فازی'!$C$5,'طیف فازی'!$C$6)))))</f>
        <v>0.75</v>
      </c>
      <c r="T120" s="19">
        <f>IF('امتیاز دهی خبرگان'!$H120=0,0,IF('امتیاز دهی خبرگان'!$H120=1,'طیف فازی'!$D$2,IF('امتیاز دهی خبرگان'!$H120=2,'طیف فازی'!$D$3,IF('امتیاز دهی خبرگان'!$H120=3,'طیف فازی'!$D$4,IF('امتیاز دهی خبرگان'!$H120=4,'طیف فازی'!$D$5,'طیف فازی'!$D$6)))))</f>
        <v>1</v>
      </c>
      <c r="U120" s="17">
        <f>IF('امتیاز دهی خبرگان'!$I120=0,0,IF('امتیاز دهی خبرگان'!$I120=1,'طیف فازی'!$B$2,IF('امتیاز دهی خبرگان'!$I120=2,'طیف فازی'!$B$3,IF('امتیاز دهی خبرگان'!$I120=3,'طیف فازی'!$B$4,IF('امتیاز دهی خبرگان'!$I120=4,'طیف فازی'!$B$5,'طیف فازی'!$B$6)))))</f>
        <v>0.5</v>
      </c>
      <c r="V120" s="18">
        <f>IF('امتیاز دهی خبرگان'!$I120=0,0,IF('امتیاز دهی خبرگان'!$I120=1,'طیف فازی'!$C$2,IF('امتیاز دهی خبرگان'!$I120=2,'طیف فازی'!$C$3,IF('امتیاز دهی خبرگان'!$I120=3,'طیف فازی'!$C$4,IF('امتیاز دهی خبرگان'!$I120=4,'طیف فازی'!$C$5,'طیف فازی'!$C$6)))))</f>
        <v>0.75</v>
      </c>
      <c r="W120" s="19">
        <f>IF('امتیاز دهی خبرگان'!$I120=0,0,IF('امتیاز دهی خبرگان'!$I120=1,'طیف فازی'!$D$2,IF('امتیاز دهی خبرگان'!$I120=2,'طیف فازی'!$D$3,IF('امتیاز دهی خبرگان'!$I120=3,'طیف فازی'!$D$4,IF('امتیاز دهی خبرگان'!$I120=4,'طیف فازی'!$D$5,'طیف فازی'!$D$6)))))</f>
        <v>1</v>
      </c>
      <c r="X120" s="17">
        <f>IF('امتیاز دهی خبرگان'!$J120=0,0,IF('امتیاز دهی خبرگان'!$J120=1,'طیف فازی'!$B$2,IF('امتیاز دهی خبرگان'!$J120=2,'طیف فازی'!$B$3,IF('امتیاز دهی خبرگان'!$J120=3,'طیف فازی'!$B$4,IF('امتیاز دهی خبرگان'!$J120=4,'طیف فازی'!$B$5,'طیف فازی'!$B$6)))))</f>
        <v>0.75</v>
      </c>
      <c r="Y120" s="18">
        <f>IF('امتیاز دهی خبرگان'!$J120=0,0,IF('امتیاز دهی خبرگان'!$J120=1,'طیف فازی'!$C$2,IF('امتیاز دهی خبرگان'!$J120=2,'طیف فازی'!$C$3,IF('امتیاز دهی خبرگان'!$J120=3,'طیف فازی'!$C$4,IF('امتیاز دهی خبرگان'!$J120=4,'طیف فازی'!$C$5,'طیف فازی'!$C$6)))))</f>
        <v>1</v>
      </c>
      <c r="Z120" s="19">
        <f>IF('امتیاز دهی خبرگان'!$J120=0,0,IF('امتیاز دهی خبرگان'!$J120=1,'طیف فازی'!$D$2,IF('امتیاز دهی خبرگان'!$J120=2,'طیف فازی'!$D$3,IF('امتیاز دهی خبرگان'!$J120=3,'طیف فازی'!$D$4,IF('امتیاز دهی خبرگان'!$J120=4,'طیف فازی'!$D$5,'طیف فازی'!$D$6)))))</f>
        <v>1</v>
      </c>
      <c r="AA120" s="17">
        <f>IF('امتیاز دهی خبرگان'!$K120=0,0,IF('امتیاز دهی خبرگان'!$K120=1,'طیف فازی'!$B$2,IF('امتیاز دهی خبرگان'!$K120=2,'طیف فازی'!$B$3,IF('امتیاز دهی خبرگان'!$K120=3,'طیف فازی'!$B$4,IF('امتیاز دهی خبرگان'!$K120=4,'طیف فازی'!$B$5,'طیف فازی'!$B$6)))))</f>
        <v>0.75</v>
      </c>
      <c r="AB120" s="18">
        <f>IF('امتیاز دهی خبرگان'!$K120=0,0,IF('امتیاز دهی خبرگان'!$K120=1,'طیف فازی'!$C$2,IF('امتیاز دهی خبرگان'!$K120=2,'طیف فازی'!$C$3,IF('امتیاز دهی خبرگان'!$K120=3,'طیف فازی'!$C$4,IF('امتیاز دهی خبرگان'!$K120=4,'طیف فازی'!$C$5,'طیف فازی'!$C$6)))))</f>
        <v>1</v>
      </c>
      <c r="AC120" s="19">
        <f>IF('امتیاز دهی خبرگان'!$K120=0,0,IF('امتیاز دهی خبرگان'!$K120=1,'طیف فازی'!$D$2,IF('امتیاز دهی خبرگان'!$K120=2,'طیف فازی'!$D$3,IF('امتیاز دهی خبرگان'!$K120=3,'طیف فازی'!$D$4,IF('امتیاز دهی خبرگان'!$K120=4,'طیف فازی'!$D$5,'طیف فازی'!$D$6)))))</f>
        <v>1</v>
      </c>
      <c r="AD120" s="17">
        <f>IF('امتیاز دهی خبرگان'!$L120=0,0,IF('امتیاز دهی خبرگان'!$L120=1,'طیف فازی'!$B$2,IF('امتیاز دهی خبرگان'!$L120=2,'طیف فازی'!$B$3,IF('امتیاز دهی خبرگان'!$L120=3,'طیف فازی'!$B$4,IF('امتیاز دهی خبرگان'!$L120=4,'طیف فازی'!$B$5,'طیف فازی'!$B$6)))))</f>
        <v>0.25</v>
      </c>
      <c r="AE120" s="18">
        <f>IF('امتیاز دهی خبرگان'!$L120=0,0,IF('امتیاز دهی خبرگان'!$L120=1,'طیف فازی'!$C$2,IF('امتیاز دهی خبرگان'!$L120=2,'طیف فازی'!$C$3,IF('امتیاز دهی خبرگان'!$L120=3,'طیف فازی'!$C$4,IF('امتیاز دهی خبرگان'!$L120=4,'طیف فازی'!$C$5,'طیف فازی'!$C$6)))))</f>
        <v>0.5</v>
      </c>
      <c r="AF120" s="19">
        <f>IF('امتیاز دهی خبرگان'!$L120=0,0,IF('امتیاز دهی خبرگان'!$L120=1,'طیف فازی'!$D$2,IF('امتیاز دهی خبرگان'!$L120=2,'طیف فازی'!$D$3,IF('امتیاز دهی خبرگان'!$L120=3,'طیف فازی'!$D$4,IF('امتیاز دهی خبرگان'!$L120=4,'طیف فازی'!$D$5,'طیف فازی'!$D$6)))))</f>
        <v>0.75</v>
      </c>
      <c r="AG120" s="17">
        <f>IF('امتیاز دهی خبرگان'!$M120=0,0,IF('امتیاز دهی خبرگان'!$M120=1,'طیف فازی'!$B$2,IF('امتیاز دهی خبرگان'!$M120=2,'طیف فازی'!$B$3,IF('امتیاز دهی خبرگان'!$M120=3,'طیف فازی'!$B$4,IF('امتیاز دهی خبرگان'!$M120=4,'طیف فازی'!$B$5,'طیف فازی'!$B$6)))))</f>
        <v>0.5</v>
      </c>
      <c r="AH120" s="18">
        <f>IF('امتیاز دهی خبرگان'!$M120=0,0,IF('امتیاز دهی خبرگان'!$M120=1,'طیف فازی'!$C$2,IF('امتیاز دهی خبرگان'!$M120=2,'طیف فازی'!$C$3,IF('امتیاز دهی خبرگان'!$M120=3,'طیف فازی'!$C$4,IF('امتیاز دهی خبرگان'!$M120=4,'طیف فازی'!$C$5,'طیف فازی'!$C$6)))))</f>
        <v>0.75</v>
      </c>
      <c r="AI120" s="19">
        <f>IF('امتیاز دهی خبرگان'!$M120=0,0,IF('امتیاز دهی خبرگان'!$M120=1,'طیف فازی'!$D$2,IF('امتیاز دهی خبرگان'!$M120=2,'طیف فازی'!$D$3,IF('امتیاز دهی خبرگان'!$M120=3,'طیف فازی'!$D$4,IF('امتیاز دهی خبرگان'!$M120=4,'طیف فازی'!$D$5,'طیف فازی'!$D$6)))))</f>
        <v>1</v>
      </c>
      <c r="AJ120" s="17">
        <f>IF('امتیاز دهی خبرگان'!$N120=0,0,IF('امتیاز دهی خبرگان'!$N120=1,'طیف فازی'!$B$2,IF('امتیاز دهی خبرگان'!$N120=2,'طیف فازی'!$B$3,IF('امتیاز دهی خبرگان'!$N120=3,'طیف فازی'!$B$4,IF('امتیاز دهی خبرگان'!$N120=4,'طیف فازی'!$B$5,'طیف فازی'!$B$6)))))</f>
        <v>0.5</v>
      </c>
      <c r="AK120" s="18">
        <f>IF('امتیاز دهی خبرگان'!$N120=0,0,IF('امتیاز دهی خبرگان'!$N120=1,'طیف فازی'!$C$2,IF('امتیاز دهی خبرگان'!$N120=2,'طیف فازی'!$C$3,IF('امتیاز دهی خبرگان'!$N120=3,'طیف فازی'!$C$4,IF('امتیاز دهی خبرگان'!$N120=4,'طیف فازی'!$C$5,'طیف فازی'!$C$6)))))</f>
        <v>0.75</v>
      </c>
      <c r="AL120" s="19">
        <f>IF('امتیاز دهی خبرگان'!$N120=0,0,IF('امتیاز دهی خبرگان'!$N120=1,'طیف فازی'!$D$2,IF('امتیاز دهی خبرگان'!$N120=2,'طیف فازی'!$D$3,IF('امتیاز دهی خبرگان'!$N120=3,'طیف فازی'!$D$4,IF('امتیاز دهی خبرگان'!$N120=4,'طیف فازی'!$D$5,'طیف فازی'!$D$6)))))</f>
        <v>1</v>
      </c>
      <c r="AM120" s="23">
        <f t="shared" si="9"/>
        <v>6.75</v>
      </c>
      <c r="AN120" s="23">
        <f t="shared" si="10"/>
        <v>9.75</v>
      </c>
      <c r="AO120" s="24">
        <f t="shared" si="11"/>
        <v>11.5</v>
      </c>
      <c r="AP120" s="25">
        <f t="shared" si="12"/>
        <v>0.5625</v>
      </c>
      <c r="AQ120" s="23">
        <f t="shared" si="13"/>
        <v>0.8125</v>
      </c>
      <c r="AR120" s="24">
        <f t="shared" si="14"/>
        <v>0.95833333333333337</v>
      </c>
      <c r="AS120" s="24">
        <f t="shared" si="15"/>
        <v>0.77777777777777779</v>
      </c>
      <c r="AT120" s="24" t="str">
        <f t="shared" si="16"/>
        <v>Pass</v>
      </c>
    </row>
    <row r="121" spans="2:46" ht="23.25" customHeight="1" thickBot="1" x14ac:dyDescent="0.85">
      <c r="B121" s="2">
        <v>117</v>
      </c>
      <c r="C121" s="17">
        <f>IF('امتیاز دهی خبرگان'!$C121=0,0,IF('امتیاز دهی خبرگان'!$C121=1,'طیف فازی'!$B$2,IF('امتیاز دهی خبرگان'!$C121=2,'طیف فازی'!$B$3,IF('امتیاز دهی خبرگان'!$C121=3,'طیف فازی'!$B$4,IF('امتیاز دهی خبرگان'!$C121=4,'طیف فازی'!$B$5,'طیف فازی'!$B$6)))))</f>
        <v>0.5</v>
      </c>
      <c r="D121" s="18">
        <f>IF('امتیاز دهی خبرگان'!$C121=0,0,IF('امتیاز دهی خبرگان'!$C121=1,'طیف فازی'!$C$2,IF('امتیاز دهی خبرگان'!$C121=2,'طیف فازی'!$C$3,IF('امتیاز دهی خبرگان'!$C121=3,'طیف فازی'!$C$4,IF('امتیاز دهی خبرگان'!$C121=4,'طیف فازی'!$C$5,'طیف فازی'!$C$6)))))</f>
        <v>0.75</v>
      </c>
      <c r="E121" s="19">
        <f>IF('امتیاز دهی خبرگان'!$C121=0,0,IF('امتیاز دهی خبرگان'!$C121=1,'طیف فازی'!$D$2,IF('امتیاز دهی خبرگان'!$C121=2,'طیف فازی'!$D$3,IF('امتیاز دهی خبرگان'!$C121=3,'طیف فازی'!$D$4,IF('امتیاز دهی خبرگان'!$C121=4,'طیف فازی'!$D$5,'طیف فازی'!$D$6)))))</f>
        <v>1</v>
      </c>
      <c r="F121" s="20">
        <f>IF('امتیاز دهی خبرگان'!$D121=0,0,IF('امتیاز دهی خبرگان'!$D121=1,'طیف فازی'!$B$2,IF('امتیاز دهی خبرگان'!$D121=2,'طیف فازی'!$B$3,IF('امتیاز دهی خبرگان'!$D121=3,'طیف فازی'!$B$4,IF('امتیاز دهی خبرگان'!$D121=4,'طیف فازی'!$B$5,'طیف فازی'!$B$6)))))</f>
        <v>0</v>
      </c>
      <c r="G121" s="21">
        <f>IF('امتیاز دهی خبرگان'!$D121=0,0,IF('امتیاز دهی خبرگان'!$D121=1,'طیف فازی'!$D$2,IF('امتیاز دهی خبرگان'!$D121=2,'طیف فازی'!$C$3,IF('امتیاز دهی خبرگان'!$D121=3,'طیف فازی'!$C$4,IF('امتیاز دهی خبرگان'!$D121=4,'طیف فازی'!$C$5,'طیف فازی'!$C$6)))))</f>
        <v>0.25</v>
      </c>
      <c r="H121" s="22">
        <f>IF('امتیاز دهی خبرگان'!$D121=0,0,IF('امتیاز دهی خبرگان'!$D121=1,'طیف فازی'!$D$2,IF('امتیاز دهی خبرگان'!$D121=2,'طیف فازی'!$D$3,IF('امتیاز دهی خبرگان'!$D121=3,'طیف فازی'!$D$4,IF('امتیاز دهی خبرگان'!$D121=4,'طیف فازی'!$D$5,'طیف فازی'!$D$6)))))</f>
        <v>0.5</v>
      </c>
      <c r="I121" s="17">
        <f>IF('امتیاز دهی خبرگان'!$E121=0,0,IF('امتیاز دهی خبرگان'!$E121=1,'طیف فازی'!$B$2,IF('امتیاز دهی خبرگان'!$E121=2,'طیف فازی'!$B$3,IF('امتیاز دهی خبرگان'!$E121=3,'طیف فازی'!$B$4,IF('امتیاز دهی خبرگان'!$E121=4,'طیف فازی'!$B$5,'طیف فازی'!$B$6)))))</f>
        <v>0.5</v>
      </c>
      <c r="J121" s="18">
        <f>IF('امتیاز دهی خبرگان'!$E121=0,0,IF('امتیاز دهی خبرگان'!$E121=1,'طیف فازی'!$C$2,IF('امتیاز دهی خبرگان'!$E121=2,'طیف فازی'!$C$3,IF('امتیاز دهی خبرگان'!$E121=3,'طیف فازی'!$C$4,IF('امتیاز دهی خبرگان'!$E121=4,'طیف فازی'!$C$5,'طیف فازی'!$C$6)))))</f>
        <v>0.75</v>
      </c>
      <c r="K121" s="19">
        <f>IF('امتیاز دهی خبرگان'!$E121=0,0,IF('امتیاز دهی خبرگان'!$E121=1,'طیف فازی'!$D$2,IF('امتیاز دهی خبرگان'!$E121=2,'طیف فازی'!$D$3,IF('امتیاز دهی خبرگان'!$E121=3,'طیف فازی'!$D$4,IF('امتیاز دهی خبرگان'!$E121=4,'طیف فازی'!$D$5,'طیف فازی'!$D$6)))))</f>
        <v>1</v>
      </c>
      <c r="L121" s="17">
        <f>IF('امتیاز دهی خبرگان'!$F121=0,0,IF('امتیاز دهی خبرگان'!$F121=1,'طیف فازی'!$B$2,IF('امتیاز دهی خبرگان'!$F121=2,'طیف فازی'!$B$3,IF('امتیاز دهی خبرگان'!$F121=3,'طیف فازی'!$B$4,IF('امتیاز دهی خبرگان'!$F121=4,'طیف فازی'!$B$5,'طیف فازی'!$B$6)))))</f>
        <v>0.75</v>
      </c>
      <c r="M121" s="18">
        <f>IF('امتیاز دهی خبرگان'!$F121=0,0,IF('امتیاز دهی خبرگان'!$F121=1,'طیف فازی'!$C$2,IF('امتیاز دهی خبرگان'!$F121=2,'طیف فازی'!$C$3,IF('امتیاز دهی خبرگان'!$F121=3,'طیف فازی'!$C$4,IF('امتیاز دهی خبرگان'!$F121=4,'طیف فازی'!$C$5,'طیف فازی'!$C$6)))))</f>
        <v>1</v>
      </c>
      <c r="N121" s="19">
        <f>IF('امتیاز دهی خبرگان'!$F121=0,0,IF('امتیاز دهی خبرگان'!$F121=1,'طیف فازی'!$D$2,IF('امتیاز دهی خبرگان'!$F121=2,'طیف فازی'!$D$3,IF('امتیاز دهی خبرگان'!$F121=3,'طیف فازی'!$D$4,IF('امتیاز دهی خبرگان'!$F121=4,'طیف فازی'!$D$5,'طیف فازی'!$D$6)))))</f>
        <v>1</v>
      </c>
      <c r="O121" s="17">
        <f>IF('امتیاز دهی خبرگان'!$G121=0,0,IF('امتیاز دهی خبرگان'!$G121=1,'طیف فازی'!$B$2,IF('امتیاز دهی خبرگان'!$G121=2,'طیف فازی'!$B$3,IF('امتیاز دهی خبرگان'!$G121=3,'طیف فازی'!$B$4,IF('امتیاز دهی خبرگان'!$G121=4,'طیف فازی'!$B$5,'طیف فازی'!$B$6)))))</f>
        <v>0.5</v>
      </c>
      <c r="P121" s="18">
        <f>IF('امتیاز دهی خبرگان'!$G121=0,0,IF('امتیاز دهی خبرگان'!$G121=1,'طیف فازی'!$C$2,IF('امتیاز دهی خبرگان'!$G121=2,'طیف فازی'!$C$3,IF('امتیاز دهی خبرگان'!$G121=3,'طیف فازی'!$C$4,IF('امتیاز دهی خبرگان'!$G121=4,'طیف فازی'!$C$5,'طیف فازی'!$C$6)))))</f>
        <v>0.75</v>
      </c>
      <c r="Q121" s="19">
        <f>IF('امتیاز دهی خبرگان'!$G121=0,0,IF('امتیاز دهی خبرگان'!$G121=1,'طیف فازی'!$D$2,IF('امتیاز دهی خبرگان'!$G121=2,'طیف فازی'!$D$3,IF('امتیاز دهی خبرگان'!$G121=3,'طیف فازی'!$D$4,IF('امتیاز دهی خبرگان'!$G121=4,'طیف فازی'!$D$5,'طیف فازی'!$D$6)))))</f>
        <v>1</v>
      </c>
      <c r="R121" s="17">
        <f>IF('امتیاز دهی خبرگان'!$H121=0,0,IF('امتیاز دهی خبرگان'!$H121=1,'طیف فازی'!$B$2,IF('امتیاز دهی خبرگان'!$H121=2,'طیف فازی'!$B$3,IF('امتیاز دهی خبرگان'!$H121=3,'طیف فازی'!$B$4,IF('امتیاز دهی خبرگان'!$H121=4,'طیف فازی'!$B$5,'طیف فازی'!$B$6)))))</f>
        <v>0.25</v>
      </c>
      <c r="S121" s="18">
        <f>IF('امتیاز دهی خبرگان'!$H121=0,0,IF('امتیاز دهی خبرگان'!$H121=1,'طیف فازی'!$C$2,IF('امتیاز دهی خبرگان'!$H121=2,'طیف فازی'!$C$3,IF('امتیاز دهی خبرگان'!$H121=3,'طیف فازی'!$C$4,IF('امتیاز دهی خبرگان'!$H121=4,'طیف فازی'!$C$5,'طیف فازی'!$C$6)))))</f>
        <v>0.5</v>
      </c>
      <c r="T121" s="19">
        <f>IF('امتیاز دهی خبرگان'!$H121=0,0,IF('امتیاز دهی خبرگان'!$H121=1,'طیف فازی'!$D$2,IF('امتیاز دهی خبرگان'!$H121=2,'طیف فازی'!$D$3,IF('امتیاز دهی خبرگان'!$H121=3,'طیف فازی'!$D$4,IF('امتیاز دهی خبرگان'!$H121=4,'طیف فازی'!$D$5,'طیف فازی'!$D$6)))))</f>
        <v>0.75</v>
      </c>
      <c r="U121" s="17">
        <f>IF('امتیاز دهی خبرگان'!$I121=0,0,IF('امتیاز دهی خبرگان'!$I121=1,'طیف فازی'!$B$2,IF('امتیاز دهی خبرگان'!$I121=2,'طیف فازی'!$B$3,IF('امتیاز دهی خبرگان'!$I121=3,'طیف فازی'!$B$4,IF('امتیاز دهی خبرگان'!$I121=4,'طیف فازی'!$B$5,'طیف فازی'!$B$6)))))</f>
        <v>0.75</v>
      </c>
      <c r="V121" s="18">
        <f>IF('امتیاز دهی خبرگان'!$I121=0,0,IF('امتیاز دهی خبرگان'!$I121=1,'طیف فازی'!$C$2,IF('امتیاز دهی خبرگان'!$I121=2,'طیف فازی'!$C$3,IF('امتیاز دهی خبرگان'!$I121=3,'طیف فازی'!$C$4,IF('امتیاز دهی خبرگان'!$I121=4,'طیف فازی'!$C$5,'طیف فازی'!$C$6)))))</f>
        <v>1</v>
      </c>
      <c r="W121" s="19">
        <f>IF('امتیاز دهی خبرگان'!$I121=0,0,IF('امتیاز دهی خبرگان'!$I121=1,'طیف فازی'!$D$2,IF('امتیاز دهی خبرگان'!$I121=2,'طیف فازی'!$D$3,IF('امتیاز دهی خبرگان'!$I121=3,'طیف فازی'!$D$4,IF('امتیاز دهی خبرگان'!$I121=4,'طیف فازی'!$D$5,'طیف فازی'!$D$6)))))</f>
        <v>1</v>
      </c>
      <c r="X121" s="17">
        <f>IF('امتیاز دهی خبرگان'!$J121=0,0,IF('امتیاز دهی خبرگان'!$J121=1,'طیف فازی'!$B$2,IF('امتیاز دهی خبرگان'!$J121=2,'طیف فازی'!$B$3,IF('امتیاز دهی خبرگان'!$J121=3,'طیف فازی'!$B$4,IF('امتیاز دهی خبرگان'!$J121=4,'طیف فازی'!$B$5,'طیف فازی'!$B$6)))))</f>
        <v>0.75</v>
      </c>
      <c r="Y121" s="18">
        <f>IF('امتیاز دهی خبرگان'!$J121=0,0,IF('امتیاز دهی خبرگان'!$J121=1,'طیف فازی'!$C$2,IF('امتیاز دهی خبرگان'!$J121=2,'طیف فازی'!$C$3,IF('امتیاز دهی خبرگان'!$J121=3,'طیف فازی'!$C$4,IF('امتیاز دهی خبرگان'!$J121=4,'طیف فازی'!$C$5,'طیف فازی'!$C$6)))))</f>
        <v>1</v>
      </c>
      <c r="Z121" s="19">
        <f>IF('امتیاز دهی خبرگان'!$J121=0,0,IF('امتیاز دهی خبرگان'!$J121=1,'طیف فازی'!$D$2,IF('امتیاز دهی خبرگان'!$J121=2,'طیف فازی'!$D$3,IF('امتیاز دهی خبرگان'!$J121=3,'طیف فازی'!$D$4,IF('امتیاز دهی خبرگان'!$J121=4,'طیف فازی'!$D$5,'طیف فازی'!$D$6)))))</f>
        <v>1</v>
      </c>
      <c r="AA121" s="17">
        <f>IF('امتیاز دهی خبرگان'!$K121=0,0,IF('امتیاز دهی خبرگان'!$K121=1,'طیف فازی'!$B$2,IF('امتیاز دهی خبرگان'!$K121=2,'طیف فازی'!$B$3,IF('امتیاز دهی خبرگان'!$K121=3,'طیف فازی'!$B$4,IF('امتیاز دهی خبرگان'!$K121=4,'طیف فازی'!$B$5,'طیف فازی'!$B$6)))))</f>
        <v>0.75</v>
      </c>
      <c r="AB121" s="18">
        <f>IF('امتیاز دهی خبرگان'!$K121=0,0,IF('امتیاز دهی خبرگان'!$K121=1,'طیف فازی'!$C$2,IF('امتیاز دهی خبرگان'!$K121=2,'طیف فازی'!$C$3,IF('امتیاز دهی خبرگان'!$K121=3,'طیف فازی'!$C$4,IF('امتیاز دهی خبرگان'!$K121=4,'طیف فازی'!$C$5,'طیف فازی'!$C$6)))))</f>
        <v>1</v>
      </c>
      <c r="AC121" s="19">
        <f>IF('امتیاز دهی خبرگان'!$K121=0,0,IF('امتیاز دهی خبرگان'!$K121=1,'طیف فازی'!$D$2,IF('امتیاز دهی خبرگان'!$K121=2,'طیف فازی'!$D$3,IF('امتیاز دهی خبرگان'!$K121=3,'طیف فازی'!$D$4,IF('امتیاز دهی خبرگان'!$K121=4,'طیف فازی'!$D$5,'طیف فازی'!$D$6)))))</f>
        <v>1</v>
      </c>
      <c r="AD121" s="17">
        <f>IF('امتیاز دهی خبرگان'!$L121=0,0,IF('امتیاز دهی خبرگان'!$L121=1,'طیف فازی'!$B$2,IF('امتیاز دهی خبرگان'!$L121=2,'طیف فازی'!$B$3,IF('امتیاز دهی خبرگان'!$L121=3,'طیف فازی'!$B$4,IF('امتیاز دهی خبرگان'!$L121=4,'طیف فازی'!$B$5,'طیف فازی'!$B$6)))))</f>
        <v>0.75</v>
      </c>
      <c r="AE121" s="18">
        <f>IF('امتیاز دهی خبرگان'!$L121=0,0,IF('امتیاز دهی خبرگان'!$L121=1,'طیف فازی'!$C$2,IF('امتیاز دهی خبرگان'!$L121=2,'طیف فازی'!$C$3,IF('امتیاز دهی خبرگان'!$L121=3,'طیف فازی'!$C$4,IF('امتیاز دهی خبرگان'!$L121=4,'طیف فازی'!$C$5,'طیف فازی'!$C$6)))))</f>
        <v>1</v>
      </c>
      <c r="AF121" s="19">
        <f>IF('امتیاز دهی خبرگان'!$L121=0,0,IF('امتیاز دهی خبرگان'!$L121=1,'طیف فازی'!$D$2,IF('امتیاز دهی خبرگان'!$L121=2,'طیف فازی'!$D$3,IF('امتیاز دهی خبرگان'!$L121=3,'طیف فازی'!$D$4,IF('امتیاز دهی خبرگان'!$L121=4,'طیف فازی'!$D$5,'طیف فازی'!$D$6)))))</f>
        <v>1</v>
      </c>
      <c r="AG121" s="17">
        <f>IF('امتیاز دهی خبرگان'!$M121=0,0,IF('امتیاز دهی خبرگان'!$M121=1,'طیف فازی'!$B$2,IF('امتیاز دهی خبرگان'!$M121=2,'طیف فازی'!$B$3,IF('امتیاز دهی خبرگان'!$M121=3,'طیف فازی'!$B$4,IF('امتیاز دهی خبرگان'!$M121=4,'طیف فازی'!$B$5,'طیف فازی'!$B$6)))))</f>
        <v>0.5</v>
      </c>
      <c r="AH121" s="18">
        <f>IF('امتیاز دهی خبرگان'!$M121=0,0,IF('امتیاز دهی خبرگان'!$M121=1,'طیف فازی'!$C$2,IF('امتیاز دهی خبرگان'!$M121=2,'طیف فازی'!$C$3,IF('امتیاز دهی خبرگان'!$M121=3,'طیف فازی'!$C$4,IF('امتیاز دهی خبرگان'!$M121=4,'طیف فازی'!$C$5,'طیف فازی'!$C$6)))))</f>
        <v>0.75</v>
      </c>
      <c r="AI121" s="19">
        <f>IF('امتیاز دهی خبرگان'!$M121=0,0,IF('امتیاز دهی خبرگان'!$M121=1,'طیف فازی'!$D$2,IF('امتیاز دهی خبرگان'!$M121=2,'طیف فازی'!$D$3,IF('امتیاز دهی خبرگان'!$M121=3,'طیف فازی'!$D$4,IF('امتیاز دهی خبرگان'!$M121=4,'طیف فازی'!$D$5,'طیف فازی'!$D$6)))))</f>
        <v>1</v>
      </c>
      <c r="AJ121" s="17">
        <f>IF('امتیاز دهی خبرگان'!$N121=0,0,IF('امتیاز دهی خبرگان'!$N121=1,'طیف فازی'!$B$2,IF('امتیاز دهی خبرگان'!$N121=2,'طیف فازی'!$B$3,IF('امتیاز دهی خبرگان'!$N121=3,'طیف فازی'!$B$4,IF('امتیاز دهی خبرگان'!$N121=4,'طیف فازی'!$B$5,'طیف فازی'!$B$6)))))</f>
        <v>0.5</v>
      </c>
      <c r="AK121" s="18">
        <f>IF('امتیاز دهی خبرگان'!$N121=0,0,IF('امتیاز دهی خبرگان'!$N121=1,'طیف فازی'!$C$2,IF('امتیاز دهی خبرگان'!$N121=2,'طیف فازی'!$C$3,IF('امتیاز دهی خبرگان'!$N121=3,'طیف فازی'!$C$4,IF('امتیاز دهی خبرگان'!$N121=4,'طیف فازی'!$C$5,'طیف فازی'!$C$6)))))</f>
        <v>0.75</v>
      </c>
      <c r="AL121" s="19">
        <f>IF('امتیاز دهی خبرگان'!$N121=0,0,IF('امتیاز دهی خبرگان'!$N121=1,'طیف فازی'!$D$2,IF('امتیاز دهی خبرگان'!$N121=2,'طیف فازی'!$D$3,IF('امتیاز دهی خبرگان'!$N121=3,'طیف فازی'!$D$4,IF('امتیاز دهی خبرگان'!$N121=4,'طیف فازی'!$D$5,'طیف فازی'!$D$6)))))</f>
        <v>1</v>
      </c>
      <c r="AM121" s="23">
        <f t="shared" si="9"/>
        <v>6.5</v>
      </c>
      <c r="AN121" s="23">
        <f t="shared" si="10"/>
        <v>9.5</v>
      </c>
      <c r="AO121" s="24">
        <f t="shared" si="11"/>
        <v>11.25</v>
      </c>
      <c r="AP121" s="25">
        <f t="shared" si="12"/>
        <v>0.54166666666666663</v>
      </c>
      <c r="AQ121" s="23">
        <f t="shared" si="13"/>
        <v>0.79166666666666663</v>
      </c>
      <c r="AR121" s="24">
        <f t="shared" si="14"/>
        <v>0.9375</v>
      </c>
      <c r="AS121" s="24">
        <f t="shared" si="15"/>
        <v>0.75694444444444431</v>
      </c>
      <c r="AT121" s="24" t="str">
        <f t="shared" si="16"/>
        <v>Pass</v>
      </c>
    </row>
    <row r="122" spans="2:46" ht="23.25" customHeight="1" thickBot="1" x14ac:dyDescent="0.85">
      <c r="B122" s="2">
        <v>118</v>
      </c>
      <c r="C122" s="17">
        <f>IF('امتیاز دهی خبرگان'!$C122=0,0,IF('امتیاز دهی خبرگان'!$C122=1,'طیف فازی'!$B$2,IF('امتیاز دهی خبرگان'!$C122=2,'طیف فازی'!$B$3,IF('امتیاز دهی خبرگان'!$C122=3,'طیف فازی'!$B$4,IF('امتیاز دهی خبرگان'!$C122=4,'طیف فازی'!$B$5,'طیف فازی'!$B$6)))))</f>
        <v>0.75</v>
      </c>
      <c r="D122" s="18">
        <f>IF('امتیاز دهی خبرگان'!$C122=0,0,IF('امتیاز دهی خبرگان'!$C122=1,'طیف فازی'!$C$2,IF('امتیاز دهی خبرگان'!$C122=2,'طیف فازی'!$C$3,IF('امتیاز دهی خبرگان'!$C122=3,'طیف فازی'!$C$4,IF('امتیاز دهی خبرگان'!$C122=4,'طیف فازی'!$C$5,'طیف فازی'!$C$6)))))</f>
        <v>1</v>
      </c>
      <c r="E122" s="19">
        <f>IF('امتیاز دهی خبرگان'!$C122=0,0,IF('امتیاز دهی خبرگان'!$C122=1,'طیف فازی'!$D$2,IF('امتیاز دهی خبرگان'!$C122=2,'طیف فازی'!$D$3,IF('امتیاز دهی خبرگان'!$C122=3,'طیف فازی'!$D$4,IF('امتیاز دهی خبرگان'!$C122=4,'طیف فازی'!$D$5,'طیف فازی'!$D$6)))))</f>
        <v>1</v>
      </c>
      <c r="F122" s="20">
        <f>IF('امتیاز دهی خبرگان'!$D122=0,0,IF('امتیاز دهی خبرگان'!$D122=1,'طیف فازی'!$B$2,IF('امتیاز دهی خبرگان'!$D122=2,'طیف فازی'!$B$3,IF('امتیاز دهی خبرگان'!$D122=3,'طیف فازی'!$B$4,IF('امتیاز دهی خبرگان'!$D122=4,'طیف فازی'!$B$5,'طیف فازی'!$B$6)))))</f>
        <v>0.25</v>
      </c>
      <c r="G122" s="21">
        <f>IF('امتیاز دهی خبرگان'!$D122=0,0,IF('امتیاز دهی خبرگان'!$D122=1,'طیف فازی'!$D$2,IF('امتیاز دهی خبرگان'!$D122=2,'طیف فازی'!$C$3,IF('امتیاز دهی خبرگان'!$D122=3,'طیف فازی'!$C$4,IF('امتیاز دهی خبرگان'!$D122=4,'طیف فازی'!$C$5,'طیف فازی'!$C$6)))))</f>
        <v>0.5</v>
      </c>
      <c r="H122" s="22">
        <f>IF('امتیاز دهی خبرگان'!$D122=0,0,IF('امتیاز دهی خبرگان'!$D122=1,'طیف فازی'!$D$2,IF('امتیاز دهی خبرگان'!$D122=2,'طیف فازی'!$D$3,IF('امتیاز دهی خبرگان'!$D122=3,'طیف فازی'!$D$4,IF('امتیاز دهی خبرگان'!$D122=4,'طیف فازی'!$D$5,'طیف فازی'!$D$6)))))</f>
        <v>0.75</v>
      </c>
      <c r="I122" s="17">
        <f>IF('امتیاز دهی خبرگان'!$E122=0,0,IF('امتیاز دهی خبرگان'!$E122=1,'طیف فازی'!$B$2,IF('امتیاز دهی خبرگان'!$E122=2,'طیف فازی'!$B$3,IF('امتیاز دهی خبرگان'!$E122=3,'طیف فازی'!$B$4,IF('امتیاز دهی خبرگان'!$E122=4,'طیف فازی'!$B$5,'طیف فازی'!$B$6)))))</f>
        <v>0.5</v>
      </c>
      <c r="J122" s="18">
        <f>IF('امتیاز دهی خبرگان'!$E122=0,0,IF('امتیاز دهی خبرگان'!$E122=1,'طیف فازی'!$C$2,IF('امتیاز دهی خبرگان'!$E122=2,'طیف فازی'!$C$3,IF('امتیاز دهی خبرگان'!$E122=3,'طیف فازی'!$C$4,IF('امتیاز دهی خبرگان'!$E122=4,'طیف فازی'!$C$5,'طیف فازی'!$C$6)))))</f>
        <v>0.75</v>
      </c>
      <c r="K122" s="19">
        <f>IF('امتیاز دهی خبرگان'!$E122=0,0,IF('امتیاز دهی خبرگان'!$E122=1,'طیف فازی'!$D$2,IF('امتیاز دهی خبرگان'!$E122=2,'طیف فازی'!$D$3,IF('امتیاز دهی خبرگان'!$E122=3,'طیف فازی'!$D$4,IF('امتیاز دهی خبرگان'!$E122=4,'طیف فازی'!$D$5,'طیف فازی'!$D$6)))))</f>
        <v>1</v>
      </c>
      <c r="L122" s="17">
        <f>IF('امتیاز دهی خبرگان'!$F122=0,0,IF('امتیاز دهی خبرگان'!$F122=1,'طیف فازی'!$B$2,IF('امتیاز دهی خبرگان'!$F122=2,'طیف فازی'!$B$3,IF('امتیاز دهی خبرگان'!$F122=3,'طیف فازی'!$B$4,IF('امتیاز دهی خبرگان'!$F122=4,'طیف فازی'!$B$5,'طیف فازی'!$B$6)))))</f>
        <v>0.75</v>
      </c>
      <c r="M122" s="18">
        <f>IF('امتیاز دهی خبرگان'!$F122=0,0,IF('امتیاز دهی خبرگان'!$F122=1,'طیف فازی'!$C$2,IF('امتیاز دهی خبرگان'!$F122=2,'طیف فازی'!$C$3,IF('امتیاز دهی خبرگان'!$F122=3,'طیف فازی'!$C$4,IF('امتیاز دهی خبرگان'!$F122=4,'طیف فازی'!$C$5,'طیف فازی'!$C$6)))))</f>
        <v>1</v>
      </c>
      <c r="N122" s="19">
        <f>IF('امتیاز دهی خبرگان'!$F122=0,0,IF('امتیاز دهی خبرگان'!$F122=1,'طیف فازی'!$D$2,IF('امتیاز دهی خبرگان'!$F122=2,'طیف فازی'!$D$3,IF('امتیاز دهی خبرگان'!$F122=3,'طیف فازی'!$D$4,IF('امتیاز دهی خبرگان'!$F122=4,'طیف فازی'!$D$5,'طیف فازی'!$D$6)))))</f>
        <v>1</v>
      </c>
      <c r="O122" s="17">
        <f>IF('امتیاز دهی خبرگان'!$G122=0,0,IF('امتیاز دهی خبرگان'!$G122=1,'طیف فازی'!$B$2,IF('امتیاز دهی خبرگان'!$G122=2,'طیف فازی'!$B$3,IF('امتیاز دهی خبرگان'!$G122=3,'طیف فازی'!$B$4,IF('امتیاز دهی خبرگان'!$G122=4,'طیف فازی'!$B$5,'طیف فازی'!$B$6)))))</f>
        <v>0.5</v>
      </c>
      <c r="P122" s="18">
        <f>IF('امتیاز دهی خبرگان'!$G122=0,0,IF('امتیاز دهی خبرگان'!$G122=1,'طیف فازی'!$C$2,IF('امتیاز دهی خبرگان'!$G122=2,'طیف فازی'!$C$3,IF('امتیاز دهی خبرگان'!$G122=3,'طیف فازی'!$C$4,IF('امتیاز دهی خبرگان'!$G122=4,'طیف فازی'!$C$5,'طیف فازی'!$C$6)))))</f>
        <v>0.75</v>
      </c>
      <c r="Q122" s="19">
        <f>IF('امتیاز دهی خبرگان'!$G122=0,0,IF('امتیاز دهی خبرگان'!$G122=1,'طیف فازی'!$D$2,IF('امتیاز دهی خبرگان'!$G122=2,'طیف فازی'!$D$3,IF('امتیاز دهی خبرگان'!$G122=3,'طیف فازی'!$D$4,IF('امتیاز دهی خبرگان'!$G122=4,'طیف فازی'!$D$5,'طیف فازی'!$D$6)))))</f>
        <v>1</v>
      </c>
      <c r="R122" s="17">
        <f>IF('امتیاز دهی خبرگان'!$H122=0,0,IF('امتیاز دهی خبرگان'!$H122=1,'طیف فازی'!$B$2,IF('امتیاز دهی خبرگان'!$H122=2,'طیف فازی'!$B$3,IF('امتیاز دهی خبرگان'!$H122=3,'طیف فازی'!$B$4,IF('امتیاز دهی خبرگان'!$H122=4,'طیف فازی'!$B$5,'طیف فازی'!$B$6)))))</f>
        <v>0.5</v>
      </c>
      <c r="S122" s="18">
        <f>IF('امتیاز دهی خبرگان'!$H122=0,0,IF('امتیاز دهی خبرگان'!$H122=1,'طیف فازی'!$C$2,IF('امتیاز دهی خبرگان'!$H122=2,'طیف فازی'!$C$3,IF('امتیاز دهی خبرگان'!$H122=3,'طیف فازی'!$C$4,IF('امتیاز دهی خبرگان'!$H122=4,'طیف فازی'!$C$5,'طیف فازی'!$C$6)))))</f>
        <v>0.75</v>
      </c>
      <c r="T122" s="19">
        <f>IF('امتیاز دهی خبرگان'!$H122=0,0,IF('امتیاز دهی خبرگان'!$H122=1,'طیف فازی'!$D$2,IF('امتیاز دهی خبرگان'!$H122=2,'طیف فازی'!$D$3,IF('امتیاز دهی خبرگان'!$H122=3,'طیف فازی'!$D$4,IF('امتیاز دهی خبرگان'!$H122=4,'طیف فازی'!$D$5,'طیف فازی'!$D$6)))))</f>
        <v>1</v>
      </c>
      <c r="U122" s="17">
        <f>IF('امتیاز دهی خبرگان'!$I122=0,0,IF('امتیاز دهی خبرگان'!$I122=1,'طیف فازی'!$B$2,IF('امتیاز دهی خبرگان'!$I122=2,'طیف فازی'!$B$3,IF('امتیاز دهی خبرگان'!$I122=3,'طیف فازی'!$B$4,IF('امتیاز دهی خبرگان'!$I122=4,'طیف فازی'!$B$5,'طیف فازی'!$B$6)))))</f>
        <v>0.75</v>
      </c>
      <c r="V122" s="18">
        <f>IF('امتیاز دهی خبرگان'!$I122=0,0,IF('امتیاز دهی خبرگان'!$I122=1,'طیف فازی'!$C$2,IF('امتیاز دهی خبرگان'!$I122=2,'طیف فازی'!$C$3,IF('امتیاز دهی خبرگان'!$I122=3,'طیف فازی'!$C$4,IF('امتیاز دهی خبرگان'!$I122=4,'طیف فازی'!$C$5,'طیف فازی'!$C$6)))))</f>
        <v>1</v>
      </c>
      <c r="W122" s="19">
        <f>IF('امتیاز دهی خبرگان'!$I122=0,0,IF('امتیاز دهی خبرگان'!$I122=1,'طیف فازی'!$D$2,IF('امتیاز دهی خبرگان'!$I122=2,'طیف فازی'!$D$3,IF('امتیاز دهی خبرگان'!$I122=3,'طیف فازی'!$D$4,IF('امتیاز دهی خبرگان'!$I122=4,'طیف فازی'!$D$5,'طیف فازی'!$D$6)))))</f>
        <v>1</v>
      </c>
      <c r="X122" s="17">
        <f>IF('امتیاز دهی خبرگان'!$J122=0,0,IF('امتیاز دهی خبرگان'!$J122=1,'طیف فازی'!$B$2,IF('امتیاز دهی خبرگان'!$J122=2,'طیف فازی'!$B$3,IF('امتیاز دهی خبرگان'!$J122=3,'طیف فازی'!$B$4,IF('امتیاز دهی خبرگان'!$J122=4,'طیف فازی'!$B$5,'طیف فازی'!$B$6)))))</f>
        <v>0.5</v>
      </c>
      <c r="Y122" s="18">
        <f>IF('امتیاز دهی خبرگان'!$J122=0,0,IF('امتیاز دهی خبرگان'!$J122=1,'طیف فازی'!$C$2,IF('امتیاز دهی خبرگان'!$J122=2,'طیف فازی'!$C$3,IF('امتیاز دهی خبرگان'!$J122=3,'طیف فازی'!$C$4,IF('امتیاز دهی خبرگان'!$J122=4,'طیف فازی'!$C$5,'طیف فازی'!$C$6)))))</f>
        <v>0.75</v>
      </c>
      <c r="Z122" s="19">
        <f>IF('امتیاز دهی خبرگان'!$J122=0,0,IF('امتیاز دهی خبرگان'!$J122=1,'طیف فازی'!$D$2,IF('امتیاز دهی خبرگان'!$J122=2,'طیف فازی'!$D$3,IF('امتیاز دهی خبرگان'!$J122=3,'طیف فازی'!$D$4,IF('امتیاز دهی خبرگان'!$J122=4,'طیف فازی'!$D$5,'طیف فازی'!$D$6)))))</f>
        <v>1</v>
      </c>
      <c r="AA122" s="17">
        <f>IF('امتیاز دهی خبرگان'!$K122=0,0,IF('امتیاز دهی خبرگان'!$K122=1,'طیف فازی'!$B$2,IF('امتیاز دهی خبرگان'!$K122=2,'طیف فازی'!$B$3,IF('امتیاز دهی خبرگان'!$K122=3,'طیف فازی'!$B$4,IF('امتیاز دهی خبرگان'!$K122=4,'طیف فازی'!$B$5,'طیف فازی'!$B$6)))))</f>
        <v>0.5</v>
      </c>
      <c r="AB122" s="18">
        <f>IF('امتیاز دهی خبرگان'!$K122=0,0,IF('امتیاز دهی خبرگان'!$K122=1,'طیف فازی'!$C$2,IF('امتیاز دهی خبرگان'!$K122=2,'طیف فازی'!$C$3,IF('امتیاز دهی خبرگان'!$K122=3,'طیف فازی'!$C$4,IF('امتیاز دهی خبرگان'!$K122=4,'طیف فازی'!$C$5,'طیف فازی'!$C$6)))))</f>
        <v>0.75</v>
      </c>
      <c r="AC122" s="19">
        <f>IF('امتیاز دهی خبرگان'!$K122=0,0,IF('امتیاز دهی خبرگان'!$K122=1,'طیف فازی'!$D$2,IF('امتیاز دهی خبرگان'!$K122=2,'طیف فازی'!$D$3,IF('امتیاز دهی خبرگان'!$K122=3,'طیف فازی'!$D$4,IF('امتیاز دهی خبرگان'!$K122=4,'طیف فازی'!$D$5,'طیف فازی'!$D$6)))))</f>
        <v>1</v>
      </c>
      <c r="AD122" s="17">
        <f>IF('امتیاز دهی خبرگان'!$L122=0,0,IF('امتیاز دهی خبرگان'!$L122=1,'طیف فازی'!$B$2,IF('امتیاز دهی خبرگان'!$L122=2,'طیف فازی'!$B$3,IF('امتیاز دهی خبرگان'!$L122=3,'طیف فازی'!$B$4,IF('امتیاز دهی خبرگان'!$L122=4,'طیف فازی'!$B$5,'طیف فازی'!$B$6)))))</f>
        <v>0.75</v>
      </c>
      <c r="AE122" s="18">
        <f>IF('امتیاز دهی خبرگان'!$L122=0,0,IF('امتیاز دهی خبرگان'!$L122=1,'طیف فازی'!$C$2,IF('امتیاز دهی خبرگان'!$L122=2,'طیف فازی'!$C$3,IF('امتیاز دهی خبرگان'!$L122=3,'طیف فازی'!$C$4,IF('امتیاز دهی خبرگان'!$L122=4,'طیف فازی'!$C$5,'طیف فازی'!$C$6)))))</f>
        <v>1</v>
      </c>
      <c r="AF122" s="19">
        <f>IF('امتیاز دهی خبرگان'!$L122=0,0,IF('امتیاز دهی خبرگان'!$L122=1,'طیف فازی'!$D$2,IF('امتیاز دهی خبرگان'!$L122=2,'طیف فازی'!$D$3,IF('امتیاز دهی خبرگان'!$L122=3,'طیف فازی'!$D$4,IF('امتیاز دهی خبرگان'!$L122=4,'طیف فازی'!$D$5,'طیف فازی'!$D$6)))))</f>
        <v>1</v>
      </c>
      <c r="AG122" s="17">
        <f>IF('امتیاز دهی خبرگان'!$M122=0,0,IF('امتیاز دهی خبرگان'!$M122=1,'طیف فازی'!$B$2,IF('امتیاز دهی خبرگان'!$M122=2,'طیف فازی'!$B$3,IF('امتیاز دهی خبرگان'!$M122=3,'طیف فازی'!$B$4,IF('امتیاز دهی خبرگان'!$M122=4,'طیف فازی'!$B$5,'طیف فازی'!$B$6)))))</f>
        <v>0.25</v>
      </c>
      <c r="AH122" s="18">
        <f>IF('امتیاز دهی خبرگان'!$M122=0,0,IF('امتیاز دهی خبرگان'!$M122=1,'طیف فازی'!$C$2,IF('امتیاز دهی خبرگان'!$M122=2,'طیف فازی'!$C$3,IF('امتیاز دهی خبرگان'!$M122=3,'طیف فازی'!$C$4,IF('امتیاز دهی خبرگان'!$M122=4,'طیف فازی'!$C$5,'طیف فازی'!$C$6)))))</f>
        <v>0.5</v>
      </c>
      <c r="AI122" s="19">
        <f>IF('امتیاز دهی خبرگان'!$M122=0,0,IF('امتیاز دهی خبرگان'!$M122=1,'طیف فازی'!$D$2,IF('امتیاز دهی خبرگان'!$M122=2,'طیف فازی'!$D$3,IF('امتیاز دهی خبرگان'!$M122=3,'طیف فازی'!$D$4,IF('امتیاز دهی خبرگان'!$M122=4,'طیف فازی'!$D$5,'طیف فازی'!$D$6)))))</f>
        <v>0.75</v>
      </c>
      <c r="AJ122" s="17">
        <f>IF('امتیاز دهی خبرگان'!$N122=0,0,IF('امتیاز دهی خبرگان'!$N122=1,'طیف فازی'!$B$2,IF('امتیاز دهی خبرگان'!$N122=2,'طیف فازی'!$B$3,IF('امتیاز دهی خبرگان'!$N122=3,'طیف فازی'!$B$4,IF('امتیاز دهی خبرگان'!$N122=4,'طیف فازی'!$B$5,'طیف فازی'!$B$6)))))</f>
        <v>0.5</v>
      </c>
      <c r="AK122" s="18">
        <f>IF('امتیاز دهی خبرگان'!$N122=0,0,IF('امتیاز دهی خبرگان'!$N122=1,'طیف فازی'!$C$2,IF('امتیاز دهی خبرگان'!$N122=2,'طیف فازی'!$C$3,IF('امتیاز دهی خبرگان'!$N122=3,'طیف فازی'!$C$4,IF('امتیاز دهی خبرگان'!$N122=4,'طیف فازی'!$C$5,'طیف فازی'!$C$6)))))</f>
        <v>0.75</v>
      </c>
      <c r="AL122" s="19">
        <f>IF('امتیاز دهی خبرگان'!$N122=0,0,IF('امتیاز دهی خبرگان'!$N122=1,'طیف فازی'!$D$2,IF('امتیاز دهی خبرگان'!$N122=2,'طیف فازی'!$D$3,IF('امتیاز دهی خبرگان'!$N122=3,'طیف فازی'!$D$4,IF('امتیاز دهی خبرگان'!$N122=4,'طیف فازی'!$D$5,'طیف فازی'!$D$6)))))</f>
        <v>1</v>
      </c>
      <c r="AM122" s="23">
        <f t="shared" si="9"/>
        <v>6.5</v>
      </c>
      <c r="AN122" s="23">
        <f t="shared" si="10"/>
        <v>9.5</v>
      </c>
      <c r="AO122" s="24">
        <f t="shared" si="11"/>
        <v>11.5</v>
      </c>
      <c r="AP122" s="25">
        <f t="shared" si="12"/>
        <v>0.54166666666666663</v>
      </c>
      <c r="AQ122" s="23">
        <f t="shared" si="13"/>
        <v>0.79166666666666663</v>
      </c>
      <c r="AR122" s="24">
        <f t="shared" si="14"/>
        <v>0.95833333333333337</v>
      </c>
      <c r="AS122" s="24">
        <f t="shared" si="15"/>
        <v>0.76388888888888884</v>
      </c>
      <c r="AT122" s="24" t="str">
        <f t="shared" si="16"/>
        <v>Pass</v>
      </c>
    </row>
    <row r="123" spans="2:46" ht="23.25" customHeight="1" thickBot="1" x14ac:dyDescent="0.85">
      <c r="B123" s="2">
        <v>119</v>
      </c>
      <c r="C123" s="17">
        <f>IF('امتیاز دهی خبرگان'!$C123=0,0,IF('امتیاز دهی خبرگان'!$C123=1,'طیف فازی'!$B$2,IF('امتیاز دهی خبرگان'!$C123=2,'طیف فازی'!$B$3,IF('امتیاز دهی خبرگان'!$C123=3,'طیف فازی'!$B$4,IF('امتیاز دهی خبرگان'!$C123=4,'طیف فازی'!$B$5,'طیف فازی'!$B$6)))))</f>
        <v>0.75</v>
      </c>
      <c r="D123" s="18">
        <f>IF('امتیاز دهی خبرگان'!$C123=0,0,IF('امتیاز دهی خبرگان'!$C123=1,'طیف فازی'!$C$2,IF('امتیاز دهی خبرگان'!$C123=2,'طیف فازی'!$C$3,IF('امتیاز دهی خبرگان'!$C123=3,'طیف فازی'!$C$4,IF('امتیاز دهی خبرگان'!$C123=4,'طیف فازی'!$C$5,'طیف فازی'!$C$6)))))</f>
        <v>1</v>
      </c>
      <c r="E123" s="19">
        <f>IF('امتیاز دهی خبرگان'!$C123=0,0,IF('امتیاز دهی خبرگان'!$C123=1,'طیف فازی'!$D$2,IF('امتیاز دهی خبرگان'!$C123=2,'طیف فازی'!$D$3,IF('امتیاز دهی خبرگان'!$C123=3,'طیف فازی'!$D$4,IF('امتیاز دهی خبرگان'!$C123=4,'طیف فازی'!$D$5,'طیف فازی'!$D$6)))))</f>
        <v>1</v>
      </c>
      <c r="F123" s="20">
        <f>IF('امتیاز دهی خبرگان'!$D123=0,0,IF('امتیاز دهی خبرگان'!$D123=1,'طیف فازی'!$B$2,IF('امتیاز دهی خبرگان'!$D123=2,'طیف فازی'!$B$3,IF('امتیاز دهی خبرگان'!$D123=3,'طیف فازی'!$B$4,IF('امتیاز دهی خبرگان'!$D123=4,'طیف فازی'!$B$5,'طیف فازی'!$B$6)))))</f>
        <v>0</v>
      </c>
      <c r="G123" s="21">
        <f>IF('امتیاز دهی خبرگان'!$D123=0,0,IF('امتیاز دهی خبرگان'!$D123=1,'طیف فازی'!$D$2,IF('امتیاز دهی خبرگان'!$D123=2,'طیف فازی'!$C$3,IF('امتیاز دهی خبرگان'!$D123=3,'طیف فازی'!$C$4,IF('امتیاز دهی خبرگان'!$D123=4,'طیف فازی'!$C$5,'طیف فازی'!$C$6)))))</f>
        <v>0.25</v>
      </c>
      <c r="H123" s="22">
        <f>IF('امتیاز دهی خبرگان'!$D123=0,0,IF('امتیاز دهی خبرگان'!$D123=1,'طیف فازی'!$D$2,IF('امتیاز دهی خبرگان'!$D123=2,'طیف فازی'!$D$3,IF('امتیاز دهی خبرگان'!$D123=3,'طیف فازی'!$D$4,IF('امتیاز دهی خبرگان'!$D123=4,'طیف فازی'!$D$5,'طیف فازی'!$D$6)))))</f>
        <v>0.5</v>
      </c>
      <c r="I123" s="17">
        <f>IF('امتیاز دهی خبرگان'!$E123=0,0,IF('امتیاز دهی خبرگان'!$E123=1,'طیف فازی'!$B$2,IF('امتیاز دهی خبرگان'!$E123=2,'طیف فازی'!$B$3,IF('امتیاز دهی خبرگان'!$E123=3,'طیف فازی'!$B$4,IF('امتیاز دهی خبرگان'!$E123=4,'طیف فازی'!$B$5,'طیف فازی'!$B$6)))))</f>
        <v>0.75</v>
      </c>
      <c r="J123" s="18">
        <f>IF('امتیاز دهی خبرگان'!$E123=0,0,IF('امتیاز دهی خبرگان'!$E123=1,'طیف فازی'!$C$2,IF('امتیاز دهی خبرگان'!$E123=2,'طیف فازی'!$C$3,IF('امتیاز دهی خبرگان'!$E123=3,'طیف فازی'!$C$4,IF('امتیاز دهی خبرگان'!$E123=4,'طیف فازی'!$C$5,'طیف فازی'!$C$6)))))</f>
        <v>1</v>
      </c>
      <c r="K123" s="19">
        <f>IF('امتیاز دهی خبرگان'!$E123=0,0,IF('امتیاز دهی خبرگان'!$E123=1,'طیف فازی'!$D$2,IF('امتیاز دهی خبرگان'!$E123=2,'طیف فازی'!$D$3,IF('امتیاز دهی خبرگان'!$E123=3,'طیف فازی'!$D$4,IF('امتیاز دهی خبرگان'!$E123=4,'طیف فازی'!$D$5,'طیف فازی'!$D$6)))))</f>
        <v>1</v>
      </c>
      <c r="L123" s="17">
        <f>IF('امتیاز دهی خبرگان'!$F123=0,0,IF('امتیاز دهی خبرگان'!$F123=1,'طیف فازی'!$B$2,IF('امتیاز دهی خبرگان'!$F123=2,'طیف فازی'!$B$3,IF('امتیاز دهی خبرگان'!$F123=3,'طیف فازی'!$B$4,IF('امتیاز دهی خبرگان'!$F123=4,'طیف فازی'!$B$5,'طیف فازی'!$B$6)))))</f>
        <v>0.5</v>
      </c>
      <c r="M123" s="18">
        <f>IF('امتیاز دهی خبرگان'!$F123=0,0,IF('امتیاز دهی خبرگان'!$F123=1,'طیف فازی'!$C$2,IF('امتیاز دهی خبرگان'!$F123=2,'طیف فازی'!$C$3,IF('امتیاز دهی خبرگان'!$F123=3,'طیف فازی'!$C$4,IF('امتیاز دهی خبرگان'!$F123=4,'طیف فازی'!$C$5,'طیف فازی'!$C$6)))))</f>
        <v>0.75</v>
      </c>
      <c r="N123" s="19">
        <f>IF('امتیاز دهی خبرگان'!$F123=0,0,IF('امتیاز دهی خبرگان'!$F123=1,'طیف فازی'!$D$2,IF('امتیاز دهی خبرگان'!$F123=2,'طیف فازی'!$D$3,IF('امتیاز دهی خبرگان'!$F123=3,'طیف فازی'!$D$4,IF('امتیاز دهی خبرگان'!$F123=4,'طیف فازی'!$D$5,'طیف فازی'!$D$6)))))</f>
        <v>1</v>
      </c>
      <c r="O123" s="17">
        <f>IF('امتیاز دهی خبرگان'!$G123=0,0,IF('امتیاز دهی خبرگان'!$G123=1,'طیف فازی'!$B$2,IF('امتیاز دهی خبرگان'!$G123=2,'طیف فازی'!$B$3,IF('امتیاز دهی خبرگان'!$G123=3,'طیف فازی'!$B$4,IF('امتیاز دهی خبرگان'!$G123=4,'طیف فازی'!$B$5,'طیف فازی'!$B$6)))))</f>
        <v>0.75</v>
      </c>
      <c r="P123" s="18">
        <f>IF('امتیاز دهی خبرگان'!$G123=0,0,IF('امتیاز دهی خبرگان'!$G123=1,'طیف فازی'!$C$2,IF('امتیاز دهی خبرگان'!$G123=2,'طیف فازی'!$C$3,IF('امتیاز دهی خبرگان'!$G123=3,'طیف فازی'!$C$4,IF('امتیاز دهی خبرگان'!$G123=4,'طیف فازی'!$C$5,'طیف فازی'!$C$6)))))</f>
        <v>1</v>
      </c>
      <c r="Q123" s="19">
        <f>IF('امتیاز دهی خبرگان'!$G123=0,0,IF('امتیاز دهی خبرگان'!$G123=1,'طیف فازی'!$D$2,IF('امتیاز دهی خبرگان'!$G123=2,'طیف فازی'!$D$3,IF('امتیاز دهی خبرگان'!$G123=3,'طیف فازی'!$D$4,IF('امتیاز دهی خبرگان'!$G123=4,'طیف فازی'!$D$5,'طیف فازی'!$D$6)))))</f>
        <v>1</v>
      </c>
      <c r="R123" s="17">
        <f>IF('امتیاز دهی خبرگان'!$H123=0,0,IF('امتیاز دهی خبرگان'!$H123=1,'طیف فازی'!$B$2,IF('امتیاز دهی خبرگان'!$H123=2,'طیف فازی'!$B$3,IF('امتیاز دهی خبرگان'!$H123=3,'طیف فازی'!$B$4,IF('امتیاز دهی خبرگان'!$H123=4,'طیف فازی'!$B$5,'طیف فازی'!$B$6)))))</f>
        <v>0.25</v>
      </c>
      <c r="S123" s="18">
        <f>IF('امتیاز دهی خبرگان'!$H123=0,0,IF('امتیاز دهی خبرگان'!$H123=1,'طیف فازی'!$C$2,IF('امتیاز دهی خبرگان'!$H123=2,'طیف فازی'!$C$3,IF('امتیاز دهی خبرگان'!$H123=3,'طیف فازی'!$C$4,IF('امتیاز دهی خبرگان'!$H123=4,'طیف فازی'!$C$5,'طیف فازی'!$C$6)))))</f>
        <v>0.5</v>
      </c>
      <c r="T123" s="19">
        <f>IF('امتیاز دهی خبرگان'!$H123=0,0,IF('امتیاز دهی خبرگان'!$H123=1,'طیف فازی'!$D$2,IF('امتیاز دهی خبرگان'!$H123=2,'طیف فازی'!$D$3,IF('امتیاز دهی خبرگان'!$H123=3,'طیف فازی'!$D$4,IF('امتیاز دهی خبرگان'!$H123=4,'طیف فازی'!$D$5,'طیف فازی'!$D$6)))))</f>
        <v>0.75</v>
      </c>
      <c r="U123" s="17">
        <f>IF('امتیاز دهی خبرگان'!$I123=0,0,IF('امتیاز دهی خبرگان'!$I123=1,'طیف فازی'!$B$2,IF('امتیاز دهی خبرگان'!$I123=2,'طیف فازی'!$B$3,IF('امتیاز دهی خبرگان'!$I123=3,'طیف فازی'!$B$4,IF('امتیاز دهی خبرگان'!$I123=4,'طیف فازی'!$B$5,'طیف فازی'!$B$6)))))</f>
        <v>0.75</v>
      </c>
      <c r="V123" s="18">
        <f>IF('امتیاز دهی خبرگان'!$I123=0,0,IF('امتیاز دهی خبرگان'!$I123=1,'طیف فازی'!$C$2,IF('امتیاز دهی خبرگان'!$I123=2,'طیف فازی'!$C$3,IF('امتیاز دهی خبرگان'!$I123=3,'طیف فازی'!$C$4,IF('امتیاز دهی خبرگان'!$I123=4,'طیف فازی'!$C$5,'طیف فازی'!$C$6)))))</f>
        <v>1</v>
      </c>
      <c r="W123" s="19">
        <f>IF('امتیاز دهی خبرگان'!$I123=0,0,IF('امتیاز دهی خبرگان'!$I123=1,'طیف فازی'!$D$2,IF('امتیاز دهی خبرگان'!$I123=2,'طیف فازی'!$D$3,IF('امتیاز دهی خبرگان'!$I123=3,'طیف فازی'!$D$4,IF('امتیاز دهی خبرگان'!$I123=4,'طیف فازی'!$D$5,'طیف فازی'!$D$6)))))</f>
        <v>1</v>
      </c>
      <c r="X123" s="17">
        <f>IF('امتیاز دهی خبرگان'!$J123=0,0,IF('امتیاز دهی خبرگان'!$J123=1,'طیف فازی'!$B$2,IF('امتیاز دهی خبرگان'!$J123=2,'طیف فازی'!$B$3,IF('امتیاز دهی خبرگان'!$J123=3,'طیف فازی'!$B$4,IF('امتیاز دهی خبرگان'!$J123=4,'طیف فازی'!$B$5,'طیف فازی'!$B$6)))))</f>
        <v>0.75</v>
      </c>
      <c r="Y123" s="18">
        <f>IF('امتیاز دهی خبرگان'!$J123=0,0,IF('امتیاز دهی خبرگان'!$J123=1,'طیف فازی'!$C$2,IF('امتیاز دهی خبرگان'!$J123=2,'طیف فازی'!$C$3,IF('امتیاز دهی خبرگان'!$J123=3,'طیف فازی'!$C$4,IF('امتیاز دهی خبرگان'!$J123=4,'طیف فازی'!$C$5,'طیف فازی'!$C$6)))))</f>
        <v>1</v>
      </c>
      <c r="Z123" s="19">
        <f>IF('امتیاز دهی خبرگان'!$J123=0,0,IF('امتیاز دهی خبرگان'!$J123=1,'طیف فازی'!$D$2,IF('امتیاز دهی خبرگان'!$J123=2,'طیف فازی'!$D$3,IF('امتیاز دهی خبرگان'!$J123=3,'طیف فازی'!$D$4,IF('امتیاز دهی خبرگان'!$J123=4,'طیف فازی'!$D$5,'طیف فازی'!$D$6)))))</f>
        <v>1</v>
      </c>
      <c r="AA123" s="17">
        <f>IF('امتیاز دهی خبرگان'!$K123=0,0,IF('امتیاز دهی خبرگان'!$K123=1,'طیف فازی'!$B$2,IF('امتیاز دهی خبرگان'!$K123=2,'طیف فازی'!$B$3,IF('امتیاز دهی خبرگان'!$K123=3,'طیف فازی'!$B$4,IF('امتیاز دهی خبرگان'!$K123=4,'طیف فازی'!$B$5,'طیف فازی'!$B$6)))))</f>
        <v>0.75</v>
      </c>
      <c r="AB123" s="18">
        <f>IF('امتیاز دهی خبرگان'!$K123=0,0,IF('امتیاز دهی خبرگان'!$K123=1,'طیف فازی'!$C$2,IF('امتیاز دهی خبرگان'!$K123=2,'طیف فازی'!$C$3,IF('امتیاز دهی خبرگان'!$K123=3,'طیف فازی'!$C$4,IF('امتیاز دهی خبرگان'!$K123=4,'طیف فازی'!$C$5,'طیف فازی'!$C$6)))))</f>
        <v>1</v>
      </c>
      <c r="AC123" s="19">
        <f>IF('امتیاز دهی خبرگان'!$K123=0,0,IF('امتیاز دهی خبرگان'!$K123=1,'طیف فازی'!$D$2,IF('امتیاز دهی خبرگان'!$K123=2,'طیف فازی'!$D$3,IF('امتیاز دهی خبرگان'!$K123=3,'طیف فازی'!$D$4,IF('امتیاز دهی خبرگان'!$K123=4,'طیف فازی'!$D$5,'طیف فازی'!$D$6)))))</f>
        <v>1</v>
      </c>
      <c r="AD123" s="17">
        <f>IF('امتیاز دهی خبرگان'!$L123=0,0,IF('امتیاز دهی خبرگان'!$L123=1,'طیف فازی'!$B$2,IF('امتیاز دهی خبرگان'!$L123=2,'طیف فازی'!$B$3,IF('امتیاز دهی خبرگان'!$L123=3,'طیف فازی'!$B$4,IF('امتیاز دهی خبرگان'!$L123=4,'طیف فازی'!$B$5,'طیف فازی'!$B$6)))))</f>
        <v>0.25</v>
      </c>
      <c r="AE123" s="18">
        <f>IF('امتیاز دهی خبرگان'!$L123=0,0,IF('امتیاز دهی خبرگان'!$L123=1,'طیف فازی'!$C$2,IF('امتیاز دهی خبرگان'!$L123=2,'طیف فازی'!$C$3,IF('امتیاز دهی خبرگان'!$L123=3,'طیف فازی'!$C$4,IF('امتیاز دهی خبرگان'!$L123=4,'طیف فازی'!$C$5,'طیف فازی'!$C$6)))))</f>
        <v>0.5</v>
      </c>
      <c r="AF123" s="19">
        <f>IF('امتیاز دهی خبرگان'!$L123=0,0,IF('امتیاز دهی خبرگان'!$L123=1,'طیف فازی'!$D$2,IF('امتیاز دهی خبرگان'!$L123=2,'طیف فازی'!$D$3,IF('امتیاز دهی خبرگان'!$L123=3,'طیف فازی'!$D$4,IF('امتیاز دهی خبرگان'!$L123=4,'طیف فازی'!$D$5,'طیف فازی'!$D$6)))))</f>
        <v>0.75</v>
      </c>
      <c r="AG123" s="17">
        <f>IF('امتیاز دهی خبرگان'!$M123=0,0,IF('امتیاز دهی خبرگان'!$M123=1,'طیف فازی'!$B$2,IF('امتیاز دهی خبرگان'!$M123=2,'طیف فازی'!$B$3,IF('امتیاز دهی خبرگان'!$M123=3,'طیف فازی'!$B$4,IF('امتیاز دهی خبرگان'!$M123=4,'طیف فازی'!$B$5,'طیف فازی'!$B$6)))))</f>
        <v>0.5</v>
      </c>
      <c r="AH123" s="18">
        <f>IF('امتیاز دهی خبرگان'!$M123=0,0,IF('امتیاز دهی خبرگان'!$M123=1,'طیف فازی'!$C$2,IF('امتیاز دهی خبرگان'!$M123=2,'طیف فازی'!$C$3,IF('امتیاز دهی خبرگان'!$M123=3,'طیف فازی'!$C$4,IF('امتیاز دهی خبرگان'!$M123=4,'طیف فازی'!$C$5,'طیف فازی'!$C$6)))))</f>
        <v>0.75</v>
      </c>
      <c r="AI123" s="19">
        <f>IF('امتیاز دهی خبرگان'!$M123=0,0,IF('امتیاز دهی خبرگان'!$M123=1,'طیف فازی'!$D$2,IF('امتیاز دهی خبرگان'!$M123=2,'طیف فازی'!$D$3,IF('امتیاز دهی خبرگان'!$M123=3,'طیف فازی'!$D$4,IF('امتیاز دهی خبرگان'!$M123=4,'طیف فازی'!$D$5,'طیف فازی'!$D$6)))))</f>
        <v>1</v>
      </c>
      <c r="AJ123" s="17">
        <f>IF('امتیاز دهی خبرگان'!$N123=0,0,IF('امتیاز دهی خبرگان'!$N123=1,'طیف فازی'!$B$2,IF('امتیاز دهی خبرگان'!$N123=2,'طیف فازی'!$B$3,IF('امتیاز دهی خبرگان'!$N123=3,'طیف فازی'!$B$4,IF('امتیاز دهی خبرگان'!$N123=4,'طیف فازی'!$B$5,'طیف فازی'!$B$6)))))</f>
        <v>0.75</v>
      </c>
      <c r="AK123" s="18">
        <f>IF('امتیاز دهی خبرگان'!$N123=0,0,IF('امتیاز دهی خبرگان'!$N123=1,'طیف فازی'!$C$2,IF('امتیاز دهی خبرگان'!$N123=2,'طیف فازی'!$C$3,IF('امتیاز دهی خبرگان'!$N123=3,'طیف فازی'!$C$4,IF('امتیاز دهی خبرگان'!$N123=4,'طیف فازی'!$C$5,'طیف فازی'!$C$6)))))</f>
        <v>1</v>
      </c>
      <c r="AL123" s="19">
        <f>IF('امتیاز دهی خبرگان'!$N123=0,0,IF('امتیاز دهی خبرگان'!$N123=1,'طیف فازی'!$D$2,IF('امتیاز دهی خبرگان'!$N123=2,'طیف فازی'!$D$3,IF('امتیاز دهی خبرگان'!$N123=3,'طیف فازی'!$D$4,IF('امتیاز دهی خبرگان'!$N123=4,'طیف فازی'!$D$5,'طیف فازی'!$D$6)))))</f>
        <v>1</v>
      </c>
      <c r="AM123" s="23">
        <f t="shared" si="9"/>
        <v>6.75</v>
      </c>
      <c r="AN123" s="23">
        <f t="shared" si="10"/>
        <v>9.75</v>
      </c>
      <c r="AO123" s="24">
        <f t="shared" si="11"/>
        <v>11</v>
      </c>
      <c r="AP123" s="25">
        <f t="shared" si="12"/>
        <v>0.5625</v>
      </c>
      <c r="AQ123" s="23">
        <f t="shared" si="13"/>
        <v>0.8125</v>
      </c>
      <c r="AR123" s="24">
        <f t="shared" si="14"/>
        <v>0.91666666666666663</v>
      </c>
      <c r="AS123" s="24">
        <f t="shared" si="15"/>
        <v>0.76388888888888884</v>
      </c>
      <c r="AT123" s="24" t="str">
        <f t="shared" si="16"/>
        <v>Pass</v>
      </c>
    </row>
    <row r="124" spans="2:46" ht="23.25" customHeight="1" thickBot="1" x14ac:dyDescent="0.4">
      <c r="B124" s="2">
        <v>120</v>
      </c>
    </row>
  </sheetData>
  <autoFilter ref="C1:AF75" xr:uid="{00000000-0009-0000-0000-000003000000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</autoFilter>
  <mergeCells count="14">
    <mergeCell ref="R1:T1"/>
    <mergeCell ref="C1:E1"/>
    <mergeCell ref="F1:H1"/>
    <mergeCell ref="I1:K1"/>
    <mergeCell ref="L1:N1"/>
    <mergeCell ref="O1:Q1"/>
    <mergeCell ref="AM1:AO1"/>
    <mergeCell ref="AP1:AR1"/>
    <mergeCell ref="U1:W1"/>
    <mergeCell ref="X1:Z1"/>
    <mergeCell ref="AA1:AC1"/>
    <mergeCell ref="AD1:AF1"/>
    <mergeCell ref="AG1:AI1"/>
    <mergeCell ref="AJ1:AL1"/>
  </mergeCells>
  <conditionalFormatting sqref="AT1:AT1048576">
    <cfRule type="cellIs" dxfId="0" priority="1" operator="equal">
      <formula>"Not 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D6"/>
  <sheetViews>
    <sheetView workbookViewId="0">
      <selection activeCell="E12" sqref="E12"/>
    </sheetView>
  </sheetViews>
  <sheetFormatPr defaultColWidth="9.1796875" defaultRowHeight="19" x14ac:dyDescent="0.8"/>
  <cols>
    <col min="1" max="1" width="16.81640625" style="13" customWidth="1"/>
    <col min="2" max="16384" width="9.1796875" style="13"/>
  </cols>
  <sheetData>
    <row r="1" spans="1:4" ht="15" customHeight="1" x14ac:dyDescent="0.8">
      <c r="A1" s="15" t="s">
        <v>1</v>
      </c>
      <c r="B1" s="16" t="s">
        <v>2</v>
      </c>
      <c r="C1" s="16" t="s">
        <v>3</v>
      </c>
      <c r="D1" s="16" t="s">
        <v>4</v>
      </c>
    </row>
    <row r="2" spans="1:4" x14ac:dyDescent="0.8">
      <c r="A2" s="15">
        <v>1</v>
      </c>
      <c r="B2" s="14">
        <v>0</v>
      </c>
      <c r="C2" s="14">
        <v>0</v>
      </c>
      <c r="D2" s="14">
        <v>0.25</v>
      </c>
    </row>
    <row r="3" spans="1:4" x14ac:dyDescent="0.8">
      <c r="A3" s="15">
        <v>2</v>
      </c>
      <c r="B3" s="14">
        <v>0</v>
      </c>
      <c r="C3" s="14">
        <v>0.25</v>
      </c>
      <c r="D3" s="14">
        <v>0.5</v>
      </c>
    </row>
    <row r="4" spans="1:4" x14ac:dyDescent="0.8">
      <c r="A4" s="15">
        <v>3</v>
      </c>
      <c r="B4" s="14">
        <v>0.25</v>
      </c>
      <c r="C4" s="14">
        <v>0.5</v>
      </c>
      <c r="D4" s="14">
        <v>0.75</v>
      </c>
    </row>
    <row r="5" spans="1:4" x14ac:dyDescent="0.8">
      <c r="A5" s="15">
        <v>4</v>
      </c>
      <c r="B5" s="14">
        <v>0.5</v>
      </c>
      <c r="C5" s="14">
        <v>0.75</v>
      </c>
      <c r="D5" s="14">
        <v>1</v>
      </c>
    </row>
    <row r="6" spans="1:4" x14ac:dyDescent="0.8">
      <c r="A6" s="15">
        <v>5</v>
      </c>
      <c r="B6" s="14">
        <v>0.75</v>
      </c>
      <c r="C6" s="14">
        <v>1</v>
      </c>
      <c r="D6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امتیاز دهی خبرگان</vt:lpstr>
      <vt:lpstr>عملیات فازی</vt:lpstr>
      <vt:lpstr>طیف فازی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Dear user</cp:lastModifiedBy>
  <dcterms:created xsi:type="dcterms:W3CDTF">2019-12-13T13:09:57Z</dcterms:created>
  <dcterms:modified xsi:type="dcterms:W3CDTF">2025-12-31T05:19:28Z</dcterms:modified>
</cp:coreProperties>
</file>